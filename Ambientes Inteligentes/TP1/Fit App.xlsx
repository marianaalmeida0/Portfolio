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maryy\Downloads\"/>
    </mc:Choice>
  </mc:AlternateContent>
  <xr:revisionPtr revIDLastSave="0" documentId="13_ncr:1_{F7D8FDE1-4131-40CF-99D1-B428D27B26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rics" sheetId="1" r:id="rId1"/>
    <sheet name="Today Metrics" sheetId="2" r:id="rId2"/>
    <sheet name="Hist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" l="1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G2" i="3"/>
  <c r="F2" i="3"/>
  <c r="J19" i="2"/>
  <c r="I19" i="2"/>
  <c r="G19" i="2"/>
  <c r="F19" i="2"/>
  <c r="J18" i="2"/>
  <c r="I18" i="2"/>
  <c r="G18" i="2"/>
  <c r="F18" i="2"/>
  <c r="J17" i="2"/>
  <c r="I17" i="2"/>
  <c r="G17" i="2"/>
  <c r="F17" i="2"/>
  <c r="J16" i="2"/>
  <c r="I16" i="2"/>
  <c r="G16" i="2"/>
  <c r="F16" i="2"/>
  <c r="J15" i="2"/>
  <c r="I15" i="2"/>
  <c r="G15" i="2"/>
  <c r="F15" i="2"/>
  <c r="J14" i="2"/>
  <c r="I14" i="2"/>
  <c r="G14" i="2"/>
  <c r="F14" i="2"/>
  <c r="J13" i="2"/>
  <c r="I13" i="2"/>
  <c r="G13" i="2"/>
  <c r="F13" i="2"/>
  <c r="J12" i="2"/>
  <c r="I12" i="2"/>
  <c r="G12" i="2"/>
  <c r="F12" i="2"/>
  <c r="J11" i="2"/>
  <c r="I11" i="2"/>
  <c r="G11" i="2"/>
  <c r="F11" i="2"/>
  <c r="J10" i="2"/>
  <c r="I10" i="2"/>
  <c r="G10" i="2"/>
  <c r="F10" i="2"/>
  <c r="J9" i="2"/>
  <c r="I9" i="2"/>
  <c r="G9" i="2"/>
  <c r="F9" i="2"/>
  <c r="J8" i="2"/>
  <c r="I8" i="2"/>
  <c r="G8" i="2"/>
  <c r="F8" i="2"/>
  <c r="J7" i="2"/>
  <c r="I7" i="2"/>
  <c r="G7" i="2"/>
  <c r="F7" i="2"/>
  <c r="J6" i="2"/>
  <c r="I6" i="2"/>
  <c r="G6" i="2"/>
  <c r="F6" i="2"/>
  <c r="J5" i="2"/>
  <c r="I5" i="2"/>
  <c r="G5" i="2"/>
  <c r="F5" i="2"/>
  <c r="J4" i="2"/>
  <c r="I4" i="2"/>
  <c r="G4" i="2"/>
  <c r="F4" i="2"/>
  <c r="J3" i="2"/>
  <c r="I3" i="2"/>
  <c r="G3" i="2"/>
  <c r="F3" i="2"/>
  <c r="K2" i="2"/>
  <c r="J2" i="2"/>
  <c r="I2" i="2"/>
  <c r="G2" i="2"/>
  <c r="H16" i="2" s="1"/>
  <c r="K16" i="2" s="1"/>
  <c r="F2" i="2"/>
  <c r="H10" i="2" l="1"/>
  <c r="H18" i="2"/>
  <c r="K18" i="2" s="1"/>
  <c r="H14" i="2"/>
  <c r="K14" i="2" s="1"/>
  <c r="H6" i="2"/>
  <c r="K6" i="2" s="1"/>
  <c r="H3" i="2"/>
  <c r="H5" i="2"/>
  <c r="K5" i="2" s="1"/>
  <c r="H7" i="2"/>
  <c r="K7" i="2" s="1"/>
  <c r="H9" i="2"/>
  <c r="K9" i="2" s="1"/>
  <c r="H11" i="2"/>
  <c r="H13" i="2"/>
  <c r="K13" i="2" s="1"/>
  <c r="H15" i="2"/>
  <c r="K15" i="2" s="1"/>
  <c r="H17" i="2"/>
  <c r="K17" i="2" s="1"/>
  <c r="H19" i="2"/>
  <c r="K19" i="2" s="1"/>
  <c r="K3" i="2"/>
  <c r="K11" i="2"/>
  <c r="K10" i="2"/>
  <c r="H2" i="2"/>
  <c r="H4" i="2"/>
  <c r="K4" i="2" s="1"/>
  <c r="H8" i="2"/>
  <c r="K8" i="2" s="1"/>
  <c r="H12" i="2"/>
  <c r="K12" i="2" s="1"/>
</calcChain>
</file>

<file path=xl/sharedStrings.xml><?xml version="1.0" encoding="utf-8"?>
<sst xmlns="http://schemas.openxmlformats.org/spreadsheetml/2006/main" count="25" uniqueCount="17">
  <si>
    <t>Date</t>
  </si>
  <si>
    <t>Steps</t>
  </si>
  <si>
    <t>Weight</t>
  </si>
  <si>
    <t>Distance</t>
  </si>
  <si>
    <t>Distance(m)</t>
  </si>
  <si>
    <t>Bat.Cardíacos</t>
  </si>
  <si>
    <t>Data Tratada</t>
  </si>
  <si>
    <t>Hora</t>
  </si>
  <si>
    <t>Intervalo</t>
  </si>
  <si>
    <t>Steps Tratados</t>
  </si>
  <si>
    <t>Distance Tratada</t>
  </si>
  <si>
    <t>Veloc Media (m/s)</t>
  </si>
  <si>
    <t>Temperatura Média (celsius)</t>
  </si>
  <si>
    <t>Temperatura Média (K)</t>
  </si>
  <si>
    <t>Humidade Média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</si>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</sst>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/yyyy\,\ hh:mm:ss"/>
    <numFmt numFmtId="166" formatCode="yyyy/mm/dd"/>
  </numFmts>
  <fonts count="13">
    <font>
      <sz val="10"/>
      <color rgb="FF000000"/>
      <name val="Arial"/>
      <scheme val="minor"/>
    </font>
    <font>
      <b/>
      <sz val="12"/>
      <color rgb="FF000000"/>
      <name val="Arial"/>
      <family val="2"/>
    </font>
    <font>
      <sz val="10"/>
      <color rgb="FF202124"/>
      <name val="&quot;Roboto Mono&quot;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&quot;Aptos Narrow&quot;"/>
    </font>
  </fonts>
  <fills count="4">
    <fill>
      <patternFill patternType="none"/>
    </fill>
    <fill>
      <patternFill patternType="gray125"/>
    </fill>
    <fill>
      <patternFill patternType="solid">
        <fgColor rgb="FFE69138"/>
        <bgColor rgb="FFE69138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6" fillId="0" borderId="0" xfId="0" applyFont="1"/>
    <xf numFmtId="165" fontId="3" fillId="0" borderId="0" xfId="0" applyNumberFormat="1" applyFont="1" applyAlignment="1">
      <alignment horizontal="center"/>
    </xf>
    <xf numFmtId="21" fontId="3" fillId="0" borderId="0" xfId="0" applyNumberFormat="1" applyFont="1" applyAlignment="1">
      <alignment horizontal="center"/>
    </xf>
    <xf numFmtId="0" fontId="3" fillId="0" borderId="0" xfId="0" applyFont="1"/>
    <xf numFmtId="2" fontId="3" fillId="0" borderId="0" xfId="0" applyNumberFormat="1" applyFont="1"/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1" fontId="4" fillId="0" borderId="0" xfId="0" applyNumberFormat="1" applyFont="1" applyAlignment="1">
      <alignment horizontal="center"/>
    </xf>
    <xf numFmtId="166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16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164" fontId="8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6" fontId="10" fillId="0" borderId="0" xfId="0" applyNumberFormat="1" applyFont="1"/>
    <xf numFmtId="0" fontId="10" fillId="0" borderId="0" xfId="0" applyFont="1"/>
    <xf numFmtId="164" fontId="11" fillId="0" borderId="0" xfId="0" applyNumberFormat="1" applyFont="1"/>
    <xf numFmtId="0" fontId="11" fillId="0" borderId="0" xfId="0" applyFont="1"/>
    <xf numFmtId="0" fontId="12" fillId="0" borderId="0" xfId="0" applyFont="1"/>
    <xf numFmtId="164" fontId="10" fillId="0" borderId="0" xfId="0" applyNumberFormat="1" applyFont="1"/>
    <xf numFmtId="166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workbookViewId="0"/>
  </sheetViews>
  <sheetFormatPr defaultColWidth="12.6640625" defaultRowHeight="15.75" customHeight="1"/>
  <cols>
    <col min="6" max="6" width="20.77734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spans="1:6">
      <c r="A2" s="3">
        <v>45384</v>
      </c>
      <c r="B2" s="4">
        <v>4166</v>
      </c>
      <c r="C2" s="5">
        <v>67</v>
      </c>
      <c r="D2" s="6">
        <v>3122.6000219583511</v>
      </c>
    </row>
    <row r="3" spans="1:6">
      <c r="A3" s="3">
        <v>45387</v>
      </c>
      <c r="B3" s="4">
        <v>6966</v>
      </c>
      <c r="C3" s="4">
        <v>66.7</v>
      </c>
      <c r="D3" s="6">
        <v>4721.1643996238708</v>
      </c>
    </row>
    <row r="4" spans="1:6">
      <c r="A4" s="3">
        <v>45390</v>
      </c>
      <c r="B4" s="4">
        <v>5879</v>
      </c>
      <c r="C4" s="4">
        <v>66.7</v>
      </c>
      <c r="D4" s="6">
        <v>4345.2200207710266</v>
      </c>
    </row>
    <row r="5" spans="1:6">
      <c r="A5" s="3">
        <v>45392</v>
      </c>
      <c r="B5" s="4">
        <v>5594</v>
      </c>
      <c r="C5" s="4">
        <v>66.7</v>
      </c>
      <c r="D5" s="6">
        <v>4133.2599754333496</v>
      </c>
    </row>
    <row r="6" spans="1:6">
      <c r="A6" s="7"/>
    </row>
    <row r="7" spans="1:6">
      <c r="A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0"/>
  <sheetViews>
    <sheetView tabSelected="1" workbookViewId="0">
      <selection activeCell="L16" sqref="L16"/>
    </sheetView>
  </sheetViews>
  <sheetFormatPr defaultColWidth="12.6640625" defaultRowHeight="15.75" customHeight="1"/>
  <cols>
    <col min="1" max="1" width="20.109375" bestFit="1" customWidth="1"/>
    <col min="5" max="5" width="13.6640625" customWidth="1"/>
    <col min="9" max="9" width="14.44140625" customWidth="1"/>
    <col min="10" max="10" width="15.6640625" customWidth="1"/>
    <col min="11" max="11" width="15.7773437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10" t="s">
        <v>9</v>
      </c>
      <c r="J1" s="10" t="s">
        <v>10</v>
      </c>
      <c r="K1" s="9" t="s">
        <v>11</v>
      </c>
      <c r="L1" s="11"/>
    </row>
    <row r="2" spans="1:12">
      <c r="A2" s="12">
        <v>45386.69736111111</v>
      </c>
      <c r="B2" s="4">
        <v>3860</v>
      </c>
      <c r="C2" s="4">
        <v>66</v>
      </c>
      <c r="D2" s="6">
        <v>2855.5100029706955</v>
      </c>
      <c r="E2" s="4">
        <v>70</v>
      </c>
      <c r="F2" s="3">
        <f ca="1">IFERROR(__xludf.DUMMYFUNCTION(" SPLIT(A2,"","",TRUE,TRUE)"),45386)</f>
        <v>45386</v>
      </c>
      <c r="G2" s="13">
        <f ca="1">IFERROR(__xludf.DUMMYFUNCTION("""COMPUTED_VALUE"""),0.697361111111111)</f>
        <v>0.69736111111111099</v>
      </c>
      <c r="H2" s="13">
        <f t="shared" ref="H2:H19" ca="1" si="0">G2-$G$2</f>
        <v>0</v>
      </c>
      <c r="I2" s="14">
        <f t="shared" ref="I2:I19" si="1">B2-$B$2</f>
        <v>0</v>
      </c>
      <c r="J2" s="15">
        <f t="shared" ref="J2:J19" si="2">D2-$D$2</f>
        <v>0</v>
      </c>
      <c r="K2" s="6">
        <f>0</f>
        <v>0</v>
      </c>
    </row>
    <row r="3" spans="1:12">
      <c r="A3" s="12">
        <v>45386.700833333336</v>
      </c>
      <c r="B3" s="4">
        <v>4111</v>
      </c>
      <c r="C3" s="4">
        <v>66</v>
      </c>
      <c r="D3" s="6">
        <v>3068.0000038743019</v>
      </c>
      <c r="E3" s="4"/>
      <c r="F3" s="3">
        <f ca="1">IFERROR(__xludf.DUMMYFUNCTION(" SPLIT(A3,"","",TRUE,TRUE)"),45386)</f>
        <v>45386</v>
      </c>
      <c r="G3" s="13">
        <f ca="1">IFERROR(__xludf.DUMMYFUNCTION("""COMPUTED_VALUE"""),0.700833333333333)</f>
        <v>0.70083333333333298</v>
      </c>
      <c r="H3" s="13">
        <f t="shared" ca="1" si="0"/>
        <v>3.4722222222219878E-3</v>
      </c>
      <c r="I3" s="14">
        <f t="shared" si="1"/>
        <v>251</v>
      </c>
      <c r="J3" s="15">
        <f t="shared" si="2"/>
        <v>212.49000090360641</v>
      </c>
      <c r="K3" s="6">
        <f t="shared" ref="K3:K19" ca="1" si="3">J3/(HOUR(H3)*60*60+MINUTE(H3)*60+SECOND(H3))</f>
        <v>0.70830000301202134</v>
      </c>
    </row>
    <row r="4" spans="1:12">
      <c r="A4" s="12">
        <v>45386.704305555555</v>
      </c>
      <c r="B4" s="4">
        <v>4111</v>
      </c>
      <c r="C4" s="4">
        <v>66</v>
      </c>
      <c r="D4" s="6">
        <v>3068.0000038743019</v>
      </c>
      <c r="E4" s="4"/>
      <c r="F4" s="3">
        <f ca="1">IFERROR(__xludf.DUMMYFUNCTION(" SPLIT(A4,"","",TRUE,TRUE)"),45386)</f>
        <v>45386</v>
      </c>
      <c r="G4" s="13">
        <f ca="1">IFERROR(__xludf.DUMMYFUNCTION("""COMPUTED_VALUE"""),0.704305555555555)</f>
        <v>0.70430555555555496</v>
      </c>
      <c r="H4" s="13">
        <f t="shared" ca="1" si="0"/>
        <v>6.9444444444439757E-3</v>
      </c>
      <c r="I4" s="14">
        <f t="shared" si="1"/>
        <v>251</v>
      </c>
      <c r="J4" s="15">
        <f t="shared" si="2"/>
        <v>212.49000090360641</v>
      </c>
      <c r="K4" s="6">
        <f t="shared" ca="1" si="3"/>
        <v>0.35415000150601067</v>
      </c>
    </row>
    <row r="5" spans="1:12">
      <c r="A5" s="12">
        <v>45386.707777777781</v>
      </c>
      <c r="B5" s="4">
        <v>4556</v>
      </c>
      <c r="C5" s="4">
        <v>66</v>
      </c>
      <c r="D5" s="6">
        <v>3400.9100042581558</v>
      </c>
      <c r="E5" s="4"/>
      <c r="F5" s="3">
        <f ca="1">IFERROR(__xludf.DUMMYFUNCTION(" SPLIT(A5,"","",TRUE,TRUE)"),45386)</f>
        <v>45386</v>
      </c>
      <c r="G5" s="13">
        <f ca="1">IFERROR(__xludf.DUMMYFUNCTION("""COMPUTED_VALUE"""),0.707777777777777)</f>
        <v>0.70777777777777695</v>
      </c>
      <c r="H5" s="13">
        <f t="shared" ca="1" si="0"/>
        <v>1.0416666666665964E-2</v>
      </c>
      <c r="I5" s="14">
        <f t="shared" si="1"/>
        <v>696</v>
      </c>
      <c r="J5" s="15">
        <f t="shared" si="2"/>
        <v>545.40000128746033</v>
      </c>
      <c r="K5" s="6">
        <f t="shared" ca="1" si="3"/>
        <v>0.60600000143051147</v>
      </c>
    </row>
    <row r="6" spans="1:12">
      <c r="A6" s="12">
        <v>45386.711261574077</v>
      </c>
      <c r="B6" s="4">
        <v>4683</v>
      </c>
      <c r="C6" s="4">
        <v>66</v>
      </c>
      <c r="D6" s="6">
        <v>3495.7800045013428</v>
      </c>
      <c r="E6" s="4"/>
      <c r="F6" s="3">
        <f ca="1">IFERROR(__xludf.DUMMYFUNCTION(" SPLIT(A6,"","",TRUE,TRUE)"),45386)</f>
        <v>45386</v>
      </c>
      <c r="G6" s="13">
        <f ca="1">IFERROR(__xludf.DUMMYFUNCTION("""COMPUTED_VALUE"""),0.711261574074074)</f>
        <v>0.71126157407407398</v>
      </c>
      <c r="H6" s="13">
        <f t="shared" ca="1" si="0"/>
        <v>1.3900462962962989E-2</v>
      </c>
      <c r="I6" s="14">
        <f t="shared" si="1"/>
        <v>823</v>
      </c>
      <c r="J6" s="15">
        <f t="shared" si="2"/>
        <v>640.27000153064728</v>
      </c>
      <c r="K6" s="6">
        <f t="shared" ca="1" si="3"/>
        <v>0.5331140728814715</v>
      </c>
    </row>
    <row r="7" spans="1:12">
      <c r="A7" s="12">
        <v>45386.714722222219</v>
      </c>
      <c r="B7" s="4">
        <v>4729</v>
      </c>
      <c r="C7" s="4">
        <v>66</v>
      </c>
      <c r="D7" s="6">
        <v>3526.8000046312809</v>
      </c>
      <c r="E7" s="4"/>
      <c r="F7" s="3">
        <f ca="1">IFERROR(__xludf.DUMMYFUNCTION(" SPLIT(A7,"","",TRUE,TRUE)"),45386)</f>
        <v>45386</v>
      </c>
      <c r="G7" s="13">
        <f ca="1">IFERROR(__xludf.DUMMYFUNCTION("""COMPUTED_VALUE"""),0.714722222222222)</f>
        <v>0.71472222222222204</v>
      </c>
      <c r="H7" s="13">
        <f t="shared" ca="1" si="0"/>
        <v>1.7361111111111049E-2</v>
      </c>
      <c r="I7" s="14">
        <f t="shared" si="1"/>
        <v>869</v>
      </c>
      <c r="J7" s="15">
        <f t="shared" si="2"/>
        <v>671.2900016605854</v>
      </c>
      <c r="K7" s="6">
        <f t="shared" ca="1" si="3"/>
        <v>0.44752666777372363</v>
      </c>
    </row>
    <row r="8" spans="1:12">
      <c r="A8" s="12">
        <v>45386.718194444446</v>
      </c>
      <c r="B8" s="4">
        <v>5148</v>
      </c>
      <c r="C8" s="4">
        <v>66</v>
      </c>
      <c r="D8" s="6">
        <v>3849.450006633997</v>
      </c>
      <c r="E8" s="4"/>
      <c r="F8" s="3">
        <f ca="1">IFERROR(__xludf.DUMMYFUNCTION(" SPLIT(A8,"","",TRUE,TRUE)"),45386)</f>
        <v>45386</v>
      </c>
      <c r="G8" s="13">
        <f ca="1">IFERROR(__xludf.DUMMYFUNCTION("""COMPUTED_VALUE"""),0.718194444444444)</f>
        <v>0.71819444444444402</v>
      </c>
      <c r="H8" s="13">
        <f t="shared" ca="1" si="0"/>
        <v>2.0833333333333037E-2</v>
      </c>
      <c r="I8" s="14">
        <f t="shared" si="1"/>
        <v>1288</v>
      </c>
      <c r="J8" s="15">
        <f t="shared" si="2"/>
        <v>993.94000366330147</v>
      </c>
      <c r="K8" s="6">
        <f t="shared" ca="1" si="3"/>
        <v>0.55218889092405632</v>
      </c>
    </row>
    <row r="9" spans="1:12">
      <c r="A9" s="12">
        <v>45386.721666666665</v>
      </c>
      <c r="B9" s="4">
        <v>5165</v>
      </c>
      <c r="C9" s="4">
        <v>66</v>
      </c>
      <c r="D9" s="6">
        <v>3859.3500066101551</v>
      </c>
      <c r="E9" s="4"/>
      <c r="F9" s="3">
        <f ca="1">IFERROR(__xludf.DUMMYFUNCTION(" SPLIT(A9,"","",TRUE,TRUE)"),45386)</f>
        <v>45386</v>
      </c>
      <c r="G9" s="13">
        <f ca="1">IFERROR(__xludf.DUMMYFUNCTION("""COMPUTED_VALUE"""),0.721666666666666)</f>
        <v>0.72166666666666601</v>
      </c>
      <c r="H9" s="13">
        <f t="shared" ca="1" si="0"/>
        <v>2.4305555555555025E-2</v>
      </c>
      <c r="I9" s="14">
        <f t="shared" si="1"/>
        <v>1305</v>
      </c>
      <c r="J9" s="15">
        <f t="shared" si="2"/>
        <v>1003.8400036394596</v>
      </c>
      <c r="K9" s="6">
        <f t="shared" ca="1" si="3"/>
        <v>0.47801904935212364</v>
      </c>
    </row>
    <row r="10" spans="1:12">
      <c r="A10" s="12">
        <v>45386.725138888891</v>
      </c>
      <c r="B10" s="4">
        <v>5322</v>
      </c>
      <c r="C10" s="4">
        <v>66</v>
      </c>
      <c r="D10" s="6">
        <v>3975.7500071227551</v>
      </c>
      <c r="E10" s="4">
        <v>89</v>
      </c>
      <c r="F10" s="3">
        <f ca="1">IFERROR(__xludf.DUMMYFUNCTION(" SPLIT(A10,"","",TRUE,TRUE)"),45386)</f>
        <v>45386</v>
      </c>
      <c r="G10" s="13">
        <f ca="1">IFERROR(__xludf.DUMMYFUNCTION("""COMPUTED_VALUE"""),0.725138888888888)</f>
        <v>0.725138888888888</v>
      </c>
      <c r="H10" s="13">
        <f t="shared" ca="1" si="0"/>
        <v>2.7777777777777013E-2</v>
      </c>
      <c r="I10" s="14">
        <f t="shared" si="1"/>
        <v>1462</v>
      </c>
      <c r="J10" s="15">
        <f t="shared" si="2"/>
        <v>1120.2400041520596</v>
      </c>
      <c r="K10" s="6">
        <f t="shared" ca="1" si="3"/>
        <v>0.46676666839669151</v>
      </c>
    </row>
    <row r="11" spans="1:12">
      <c r="A11" s="12">
        <v>45386.728634259256</v>
      </c>
      <c r="B11" s="4">
        <v>5743</v>
      </c>
      <c r="C11" s="4">
        <v>66</v>
      </c>
      <c r="D11" s="6">
        <v>4305.2600092589855</v>
      </c>
      <c r="E11" s="4"/>
      <c r="F11" s="3">
        <f ca="1">IFERROR(__xludf.DUMMYFUNCTION(" SPLIT(A11,"","",TRUE,TRUE)"),45386)</f>
        <v>45386</v>
      </c>
      <c r="G11" s="13">
        <f ca="1">IFERROR(__xludf.DUMMYFUNCTION("""COMPUTED_VALUE"""),0.728634259259259)</f>
        <v>0.72863425925925895</v>
      </c>
      <c r="H11" s="13">
        <f t="shared" ca="1" si="0"/>
        <v>3.1273148148147967E-2</v>
      </c>
      <c r="I11" s="14">
        <f t="shared" si="1"/>
        <v>1883</v>
      </c>
      <c r="J11" s="15">
        <f t="shared" si="2"/>
        <v>1449.75000628829</v>
      </c>
      <c r="K11" s="6">
        <f t="shared" ca="1" si="3"/>
        <v>0.53654700454784976</v>
      </c>
    </row>
    <row r="12" spans="1:12">
      <c r="A12" s="12">
        <v>45386.732083333336</v>
      </c>
      <c r="B12" s="4">
        <v>5797</v>
      </c>
      <c r="C12" s="4">
        <v>66</v>
      </c>
      <c r="D12" s="6">
        <v>4340.6000085175037</v>
      </c>
      <c r="E12" s="4"/>
      <c r="F12" s="3">
        <f ca="1">IFERROR(__xludf.DUMMYFUNCTION(" SPLIT(A12,"","",TRUE,TRUE)"),45386)</f>
        <v>45386</v>
      </c>
      <c r="G12" s="13">
        <f ca="1">IFERROR(__xludf.DUMMYFUNCTION("""COMPUTED_VALUE"""),0.732083333333333)</f>
        <v>0.73208333333333298</v>
      </c>
      <c r="H12" s="13">
        <f t="shared" ca="1" si="0"/>
        <v>3.4722222222221988E-2</v>
      </c>
      <c r="I12" s="14">
        <f t="shared" si="1"/>
        <v>1937</v>
      </c>
      <c r="J12" s="15">
        <f t="shared" si="2"/>
        <v>1485.0900055468082</v>
      </c>
      <c r="K12" s="6">
        <f t="shared" ca="1" si="3"/>
        <v>0.49503000184893609</v>
      </c>
    </row>
    <row r="13" spans="1:12">
      <c r="A13" s="12">
        <v>45386.735555555555</v>
      </c>
      <c r="B13" s="4">
        <v>5887</v>
      </c>
      <c r="C13" s="4">
        <v>66</v>
      </c>
      <c r="D13" s="6">
        <v>4399.7900084853172</v>
      </c>
      <c r="E13" s="4"/>
      <c r="F13" s="3">
        <f ca="1">IFERROR(__xludf.DUMMYFUNCTION(" SPLIT(A13,"","",TRUE,TRUE)"),45386)</f>
        <v>45386</v>
      </c>
      <c r="G13" s="13">
        <f ca="1">IFERROR(__xludf.DUMMYFUNCTION("""COMPUTED_VALUE"""),0.735555555555555)</f>
        <v>0.73555555555555496</v>
      </c>
      <c r="H13" s="13">
        <f t="shared" ca="1" si="0"/>
        <v>3.8194444444443976E-2</v>
      </c>
      <c r="I13" s="14">
        <f t="shared" si="1"/>
        <v>2027</v>
      </c>
      <c r="J13" s="15">
        <f t="shared" si="2"/>
        <v>1544.2800055146217</v>
      </c>
      <c r="K13" s="6">
        <f t="shared" ca="1" si="3"/>
        <v>0.46796363803473384</v>
      </c>
    </row>
    <row r="14" spans="1:12">
      <c r="A14" s="12">
        <v>45386.743796296294</v>
      </c>
      <c r="B14" s="4">
        <v>6295</v>
      </c>
      <c r="C14" s="4">
        <v>66</v>
      </c>
      <c r="D14" s="6">
        <v>4671.1900092661381</v>
      </c>
      <c r="E14" s="4"/>
      <c r="F14" s="3">
        <f ca="1">IFERROR(__xludf.DUMMYFUNCTION(" SPLIT(A14,"","",TRUE,TRUE)"),45386)</f>
        <v>45386</v>
      </c>
      <c r="G14" s="13">
        <f ca="1">IFERROR(__xludf.DUMMYFUNCTION("""COMPUTED_VALUE"""),0.743796296296296)</f>
        <v>0.74379629629629596</v>
      </c>
      <c r="H14" s="13">
        <f t="shared" ca="1" si="0"/>
        <v>4.6435185185184968E-2</v>
      </c>
      <c r="I14" s="14">
        <f t="shared" si="1"/>
        <v>2435</v>
      </c>
      <c r="J14" s="15">
        <f t="shared" si="2"/>
        <v>1815.6800062954426</v>
      </c>
      <c r="K14" s="6">
        <f t="shared" ca="1" si="3"/>
        <v>0.45256231462997071</v>
      </c>
    </row>
    <row r="15" spans="1:12">
      <c r="A15" s="12">
        <v>45386.745972222219</v>
      </c>
      <c r="B15" s="4">
        <v>6730</v>
      </c>
      <c r="C15" s="4">
        <v>66</v>
      </c>
      <c r="D15" s="6">
        <v>4955.2200084030628</v>
      </c>
      <c r="E15" s="4"/>
      <c r="F15" s="3">
        <f ca="1">IFERROR(__xludf.DUMMYFUNCTION(" SPLIT(A15,"","",TRUE,TRUE)"),45386)</f>
        <v>45386</v>
      </c>
      <c r="G15" s="13">
        <f ca="1">IFERROR(__xludf.DUMMYFUNCTION("""COMPUTED_VALUE"""),0.745972222222222)</f>
        <v>0.74597222222222204</v>
      </c>
      <c r="H15" s="13">
        <f t="shared" ca="1" si="0"/>
        <v>4.8611111111111049E-2</v>
      </c>
      <c r="I15" s="14">
        <f t="shared" si="1"/>
        <v>2870</v>
      </c>
      <c r="J15" s="15">
        <f t="shared" si="2"/>
        <v>2099.7100054323673</v>
      </c>
      <c r="K15" s="6">
        <f t="shared" ca="1" si="3"/>
        <v>0.49993095367437318</v>
      </c>
    </row>
    <row r="16" spans="1:12">
      <c r="A16" s="12">
        <v>45386.749675925923</v>
      </c>
      <c r="B16" s="4">
        <v>6880</v>
      </c>
      <c r="C16" s="4">
        <v>66</v>
      </c>
      <c r="D16" s="6">
        <v>5054.830009251833</v>
      </c>
      <c r="E16" s="4"/>
      <c r="F16" s="3">
        <f ca="1">IFERROR(__xludf.DUMMYFUNCTION(" SPLIT(A16,"","",TRUE,TRUE)"),45386)</f>
        <v>45386</v>
      </c>
      <c r="G16" s="13">
        <f ca="1">IFERROR(__xludf.DUMMYFUNCTION("""COMPUTED_VALUE"""),0.749675925925925)</f>
        <v>0.74967592592592502</v>
      </c>
      <c r="H16" s="13">
        <f t="shared" ca="1" si="0"/>
        <v>5.2314814814814037E-2</v>
      </c>
      <c r="I16" s="14">
        <f t="shared" si="1"/>
        <v>3020</v>
      </c>
      <c r="J16" s="15">
        <f t="shared" si="2"/>
        <v>2199.3200062811375</v>
      </c>
      <c r="K16" s="6">
        <f t="shared" ca="1" si="3"/>
        <v>0.48657522262857023</v>
      </c>
    </row>
    <row r="17" spans="1:11">
      <c r="A17" s="12">
        <v>45386.752916666665</v>
      </c>
      <c r="B17" s="4">
        <v>6880</v>
      </c>
      <c r="C17" s="4">
        <v>66</v>
      </c>
      <c r="D17" s="6">
        <v>5054.830009251833</v>
      </c>
      <c r="E17" s="4"/>
      <c r="F17" s="3">
        <f ca="1">IFERROR(__xludf.DUMMYFUNCTION(" SPLIT(A17,"","",TRUE,TRUE)"),45386)</f>
        <v>45386</v>
      </c>
      <c r="G17" s="13">
        <f ca="1">IFERROR(__xludf.DUMMYFUNCTION("""COMPUTED_VALUE"""),0.752916666666666)</f>
        <v>0.75291666666666601</v>
      </c>
      <c r="H17" s="13">
        <f t="shared" ca="1" si="0"/>
        <v>5.5555555555555025E-2</v>
      </c>
      <c r="I17" s="14">
        <f t="shared" si="1"/>
        <v>3020</v>
      </c>
      <c r="J17" s="15">
        <f t="shared" si="2"/>
        <v>2199.3200062811375</v>
      </c>
      <c r="K17" s="6">
        <f t="shared" ca="1" si="3"/>
        <v>0.45819166797523697</v>
      </c>
    </row>
    <row r="18" spans="1:11">
      <c r="A18" s="12">
        <v>45386.756388888891</v>
      </c>
      <c r="B18" s="4">
        <v>7303</v>
      </c>
      <c r="C18" s="4">
        <v>66</v>
      </c>
      <c r="D18" s="6">
        <v>5385.1400084793568</v>
      </c>
      <c r="E18" s="4"/>
      <c r="F18" s="3">
        <f ca="1">IFERROR(__xludf.DUMMYFUNCTION(" SPLIT(A18,"","",TRUE,TRUE)"),45386)</f>
        <v>45386</v>
      </c>
      <c r="G18" s="13">
        <f ca="1">IFERROR(__xludf.DUMMYFUNCTION("""COMPUTED_VALUE"""),0.756388888888888)</f>
        <v>0.756388888888888</v>
      </c>
      <c r="H18" s="13">
        <f t="shared" ca="1" si="0"/>
        <v>5.9027777777777013E-2</v>
      </c>
      <c r="I18" s="14">
        <f t="shared" si="1"/>
        <v>3443</v>
      </c>
      <c r="J18" s="15">
        <f t="shared" si="2"/>
        <v>2529.6300055086613</v>
      </c>
      <c r="K18" s="6">
        <f t="shared" ca="1" si="3"/>
        <v>0.49600588343307084</v>
      </c>
    </row>
    <row r="19" spans="1:11">
      <c r="A19" s="12">
        <v>45386.759872685187</v>
      </c>
      <c r="B19" s="4">
        <v>7498</v>
      </c>
      <c r="C19" s="4">
        <v>66</v>
      </c>
      <c r="D19" s="6">
        <v>5533.9800079166889</v>
      </c>
      <c r="E19" s="4">
        <v>172</v>
      </c>
      <c r="F19" s="3">
        <f ca="1">IFERROR(__xludf.DUMMYFUNCTION(" SPLIT(A19,"","",TRUE,TRUE)"),45386)</f>
        <v>45386</v>
      </c>
      <c r="G19" s="13">
        <f ca="1">IFERROR(__xludf.DUMMYFUNCTION("""COMPUTED_VALUE"""),0.759872685185185)</f>
        <v>0.75987268518518503</v>
      </c>
      <c r="H19" s="13">
        <f t="shared" ca="1" si="0"/>
        <v>6.2511574074074039E-2</v>
      </c>
      <c r="I19" s="14">
        <f t="shared" si="1"/>
        <v>3638</v>
      </c>
      <c r="J19" s="15">
        <f t="shared" si="2"/>
        <v>2678.4700049459934</v>
      </c>
      <c r="K19" s="6">
        <f t="shared" ca="1" si="3"/>
        <v>0.49592112663321486</v>
      </c>
    </row>
    <row r="20" spans="1:11">
      <c r="A20" s="16"/>
      <c r="B20" s="17"/>
      <c r="C20" s="17"/>
      <c r="D20" s="18"/>
      <c r="E20" s="17"/>
      <c r="F20" s="17"/>
      <c r="G20" s="19"/>
      <c r="H20" s="17"/>
      <c r="K20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876"/>
  <sheetViews>
    <sheetView workbookViewId="0"/>
  </sheetViews>
  <sheetFormatPr defaultColWidth="12.6640625" defaultRowHeight="15.75" customHeight="1"/>
  <cols>
    <col min="1" max="1" width="20.109375" customWidth="1"/>
    <col min="4" max="4" width="13" customWidth="1"/>
    <col min="5" max="5" width="13.33203125" customWidth="1"/>
    <col min="6" max="6" width="25.6640625" customWidth="1"/>
    <col min="7" max="7" width="20.77734375" customWidth="1"/>
    <col min="8" max="8" width="22.88671875" customWidth="1"/>
    <col min="9" max="9" width="10.21875" customWidth="1"/>
    <col min="10" max="10" width="13.33203125" customWidth="1"/>
    <col min="11" max="11" width="12.88671875" customWidth="1"/>
  </cols>
  <sheetData>
    <row r="1" spans="1:10">
      <c r="A1" s="20" t="s">
        <v>0</v>
      </c>
      <c r="B1" s="21" t="s">
        <v>1</v>
      </c>
      <c r="C1" s="21" t="s">
        <v>2</v>
      </c>
      <c r="D1" s="21" t="s">
        <v>3</v>
      </c>
      <c r="E1" s="9" t="s">
        <v>5</v>
      </c>
      <c r="F1" s="22" t="s">
        <v>12</v>
      </c>
      <c r="G1" s="9" t="s">
        <v>13</v>
      </c>
      <c r="H1" s="9" t="s">
        <v>14</v>
      </c>
      <c r="I1" s="9" t="s">
        <v>15</v>
      </c>
      <c r="J1" s="9" t="s">
        <v>16</v>
      </c>
    </row>
    <row r="2" spans="1:10">
      <c r="A2" s="23">
        <v>45364</v>
      </c>
      <c r="B2" s="24">
        <v>2651</v>
      </c>
      <c r="C2" s="24">
        <v>66.599999999999994</v>
      </c>
      <c r="D2" s="25">
        <v>2040.1483898162842</v>
      </c>
      <c r="E2" s="24">
        <v>70</v>
      </c>
      <c r="F2" s="26">
        <f t="shared" ref="F2:F30" si="0">G2-273</f>
        <v>12.430000000000007</v>
      </c>
      <c r="G2" s="27">
        <f>285.43</f>
        <v>285.43</v>
      </c>
      <c r="H2" s="27">
        <v>74</v>
      </c>
      <c r="I2" s="27">
        <v>41.545450000000002</v>
      </c>
      <c r="J2" s="27">
        <v>-8.4265100000000004</v>
      </c>
    </row>
    <row r="3" spans="1:10">
      <c r="A3" s="23">
        <v>45365</v>
      </c>
      <c r="B3" s="24">
        <v>3997</v>
      </c>
      <c r="C3" s="24">
        <v>66.599999999999994</v>
      </c>
      <c r="D3" s="25">
        <v>2707.7699723243713</v>
      </c>
      <c r="E3" s="24">
        <v>82</v>
      </c>
      <c r="F3" s="26">
        <f t="shared" si="0"/>
        <v>12.110000000000014</v>
      </c>
      <c r="G3" s="27">
        <v>285.11</v>
      </c>
      <c r="H3" s="27">
        <v>87</v>
      </c>
      <c r="I3" s="27"/>
      <c r="J3" s="28"/>
    </row>
    <row r="4" spans="1:10">
      <c r="A4" s="23">
        <v>45366</v>
      </c>
      <c r="B4" s="24">
        <v>8757</v>
      </c>
      <c r="C4" s="24">
        <v>66.599999999999994</v>
      </c>
      <c r="D4" s="25">
        <v>6460.09912109375</v>
      </c>
      <c r="E4" s="24">
        <v>78</v>
      </c>
      <c r="F4" s="26">
        <f t="shared" si="0"/>
        <v>13.939999999999998</v>
      </c>
      <c r="G4" s="27">
        <v>286.94</v>
      </c>
      <c r="H4" s="27">
        <v>88</v>
      </c>
      <c r="I4" s="27"/>
      <c r="J4" s="28"/>
    </row>
    <row r="5" spans="1:10">
      <c r="A5" s="23">
        <v>45367</v>
      </c>
      <c r="B5" s="24">
        <v>3011</v>
      </c>
      <c r="C5" s="24">
        <v>66.599999999999994</v>
      </c>
      <c r="D5" s="25">
        <v>2119.8369177327199</v>
      </c>
      <c r="E5" s="24">
        <v>88</v>
      </c>
      <c r="F5" s="26">
        <f t="shared" si="0"/>
        <v>14.360000000000014</v>
      </c>
      <c r="G5" s="27">
        <v>287.36</v>
      </c>
      <c r="H5" s="27">
        <v>86</v>
      </c>
      <c r="I5" s="27"/>
      <c r="J5" s="28"/>
    </row>
    <row r="6" spans="1:10">
      <c r="A6" s="23">
        <v>45368</v>
      </c>
      <c r="B6" s="24">
        <v>6117</v>
      </c>
      <c r="C6" s="24">
        <v>66.599999999999994</v>
      </c>
      <c r="D6" s="25">
        <v>4611.0830728068304</v>
      </c>
      <c r="E6" s="24">
        <v>85</v>
      </c>
      <c r="F6" s="26">
        <f t="shared" si="0"/>
        <v>15.620000000000005</v>
      </c>
      <c r="G6" s="27">
        <v>288.62</v>
      </c>
      <c r="H6" s="27">
        <v>82</v>
      </c>
      <c r="I6" s="27"/>
      <c r="J6" s="28"/>
    </row>
    <row r="7" spans="1:10">
      <c r="A7" s="23">
        <v>45369</v>
      </c>
      <c r="B7" s="24">
        <v>3273</v>
      </c>
      <c r="C7" s="24">
        <v>66.599999999999994</v>
      </c>
      <c r="D7" s="25">
        <v>2461.9865670204163</v>
      </c>
      <c r="E7" s="24">
        <v>95</v>
      </c>
      <c r="F7" s="26">
        <f t="shared" si="0"/>
        <v>15.860000000000014</v>
      </c>
      <c r="G7" s="27">
        <v>288.86</v>
      </c>
      <c r="H7" s="27">
        <v>79</v>
      </c>
      <c r="I7" s="27"/>
      <c r="J7" s="28"/>
    </row>
    <row r="8" spans="1:10">
      <c r="A8" s="23">
        <v>45370</v>
      </c>
      <c r="B8" s="24">
        <v>3115</v>
      </c>
      <c r="C8" s="24">
        <v>66.599999999999994</v>
      </c>
      <c r="D8" s="25">
        <v>2333.9599547386169</v>
      </c>
      <c r="E8" s="24">
        <v>73</v>
      </c>
      <c r="F8" s="26">
        <f t="shared" si="0"/>
        <v>14.480000000000018</v>
      </c>
      <c r="G8" s="27">
        <v>287.48</v>
      </c>
      <c r="H8" s="27">
        <v>81</v>
      </c>
      <c r="I8" s="27"/>
      <c r="J8" s="28"/>
    </row>
    <row r="9" spans="1:10">
      <c r="A9" s="23">
        <v>45371</v>
      </c>
      <c r="B9" s="24">
        <v>3550</v>
      </c>
      <c r="C9" s="24">
        <v>66.599999999999994</v>
      </c>
      <c r="D9" s="25">
        <v>2622.1912987232208</v>
      </c>
      <c r="E9" s="24">
        <v>70</v>
      </c>
      <c r="F9" s="26">
        <f t="shared" si="0"/>
        <v>12.339999999999975</v>
      </c>
      <c r="G9" s="27">
        <v>285.33999999999997</v>
      </c>
      <c r="H9" s="27">
        <v>79</v>
      </c>
      <c r="I9" s="27"/>
      <c r="J9" s="28"/>
    </row>
    <row r="10" spans="1:10">
      <c r="A10" s="23">
        <v>45372</v>
      </c>
      <c r="B10" s="24">
        <v>9454</v>
      </c>
      <c r="C10" s="24">
        <v>66.5</v>
      </c>
      <c r="D10" s="25">
        <v>7202.342871338129</v>
      </c>
      <c r="E10" s="24">
        <v>81</v>
      </c>
      <c r="F10" s="26">
        <f t="shared" si="0"/>
        <v>16.110000000000014</v>
      </c>
      <c r="G10" s="27">
        <v>289.11</v>
      </c>
      <c r="H10" s="27">
        <v>72</v>
      </c>
      <c r="I10" s="27"/>
      <c r="J10" s="28"/>
    </row>
    <row r="11" spans="1:10">
      <c r="A11" s="23">
        <v>45373</v>
      </c>
      <c r="B11" s="24">
        <v>3351</v>
      </c>
      <c r="C11" s="24">
        <v>66.5</v>
      </c>
      <c r="D11" s="25">
        <v>2305.3799817562103</v>
      </c>
      <c r="E11" s="24">
        <v>100</v>
      </c>
      <c r="F11" s="26">
        <f t="shared" si="0"/>
        <v>18.54000000000002</v>
      </c>
      <c r="G11" s="27">
        <v>291.54000000000002</v>
      </c>
      <c r="H11" s="27">
        <v>61</v>
      </c>
      <c r="I11" s="27"/>
      <c r="J11" s="28"/>
    </row>
    <row r="12" spans="1:10">
      <c r="A12" s="23">
        <v>45374</v>
      </c>
      <c r="B12" s="24">
        <v>8404</v>
      </c>
      <c r="C12" s="24">
        <v>66.5</v>
      </c>
      <c r="D12" s="25">
        <v>5880.7199902534485</v>
      </c>
      <c r="E12" s="24">
        <v>92</v>
      </c>
      <c r="F12" s="26">
        <f t="shared" si="0"/>
        <v>17.259999999999991</v>
      </c>
      <c r="G12" s="27">
        <v>290.26</v>
      </c>
      <c r="H12" s="27">
        <v>68</v>
      </c>
      <c r="I12" s="27"/>
      <c r="J12" s="28"/>
    </row>
    <row r="13" spans="1:10">
      <c r="A13" s="23">
        <v>45375</v>
      </c>
      <c r="B13" s="24">
        <v>5884</v>
      </c>
      <c r="C13" s="24">
        <v>66.5</v>
      </c>
      <c r="D13" s="25">
        <v>3990.8085293769836</v>
      </c>
      <c r="E13" s="24">
        <v>81</v>
      </c>
      <c r="F13" s="26">
        <f t="shared" si="0"/>
        <v>15.649999999999977</v>
      </c>
      <c r="G13" s="27">
        <v>288.64999999999998</v>
      </c>
      <c r="H13" s="27">
        <v>56</v>
      </c>
      <c r="I13" s="27"/>
      <c r="J13" s="28"/>
    </row>
    <row r="14" spans="1:10">
      <c r="A14" s="23">
        <v>45376</v>
      </c>
      <c r="B14" s="24">
        <v>379</v>
      </c>
      <c r="C14" s="24">
        <v>66.5</v>
      </c>
      <c r="D14" s="25">
        <v>253.13999652862549</v>
      </c>
      <c r="E14" s="24">
        <v>70</v>
      </c>
      <c r="F14" s="26">
        <f t="shared" si="0"/>
        <v>9.089999999999975</v>
      </c>
      <c r="G14" s="27">
        <v>282.08999999999997</v>
      </c>
      <c r="H14" s="27">
        <v>76</v>
      </c>
      <c r="I14" s="27"/>
      <c r="J14" s="28"/>
    </row>
    <row r="15" spans="1:10">
      <c r="A15" s="23">
        <v>45377</v>
      </c>
      <c r="B15" s="24">
        <v>4439</v>
      </c>
      <c r="C15" s="24">
        <v>66.5</v>
      </c>
      <c r="D15" s="25">
        <v>3003.8235865629595</v>
      </c>
      <c r="E15" s="24">
        <v>65</v>
      </c>
      <c r="F15" s="26">
        <f t="shared" si="0"/>
        <v>5.6399999999999864</v>
      </c>
      <c r="G15" s="27">
        <v>278.64</v>
      </c>
      <c r="H15" s="27">
        <v>89</v>
      </c>
      <c r="I15" s="27"/>
      <c r="J15" s="28"/>
    </row>
    <row r="16" spans="1:10">
      <c r="A16" s="23">
        <v>45378</v>
      </c>
      <c r="B16" s="24">
        <v>3401</v>
      </c>
      <c r="C16" s="29">
        <v>67</v>
      </c>
      <c r="D16" s="25">
        <v>2910.4103683632779</v>
      </c>
      <c r="E16" s="24">
        <v>75</v>
      </c>
      <c r="F16" s="26">
        <f t="shared" si="0"/>
        <v>8.4800000000000182</v>
      </c>
      <c r="G16" s="27">
        <v>281.48</v>
      </c>
      <c r="H16" s="27">
        <v>90</v>
      </c>
      <c r="I16" s="27"/>
      <c r="J16" s="28"/>
    </row>
    <row r="17" spans="1:11">
      <c r="A17" s="23">
        <v>45379</v>
      </c>
      <c r="B17" s="24">
        <v>1532</v>
      </c>
      <c r="C17" s="29">
        <v>67</v>
      </c>
      <c r="D17" s="25">
        <v>1295.176466454458</v>
      </c>
      <c r="E17" s="24">
        <v>75</v>
      </c>
      <c r="F17" s="26">
        <f t="shared" si="0"/>
        <v>8.4800000000000182</v>
      </c>
      <c r="G17" s="27">
        <v>281.48</v>
      </c>
      <c r="H17" s="27">
        <v>91</v>
      </c>
      <c r="I17" s="27"/>
      <c r="J17" s="28"/>
    </row>
    <row r="18" spans="1:11">
      <c r="A18" s="23">
        <v>45380</v>
      </c>
      <c r="B18" s="24">
        <v>2801</v>
      </c>
      <c r="C18" s="29">
        <v>67</v>
      </c>
      <c r="D18" s="25">
        <v>1844.6800198554993</v>
      </c>
      <c r="E18" s="24">
        <v>74</v>
      </c>
      <c r="F18" s="26">
        <f t="shared" si="0"/>
        <v>8.0600000000000023</v>
      </c>
      <c r="G18" s="27">
        <v>281.06</v>
      </c>
      <c r="H18" s="27">
        <v>90</v>
      </c>
      <c r="I18" s="27"/>
      <c r="J18" s="28"/>
    </row>
    <row r="19" spans="1:11">
      <c r="A19" s="23">
        <v>45381</v>
      </c>
      <c r="B19" s="24">
        <v>3634</v>
      </c>
      <c r="C19" s="29">
        <v>67</v>
      </c>
      <c r="D19" s="25">
        <v>2739.1745328903198</v>
      </c>
      <c r="E19" s="24">
        <v>70</v>
      </c>
      <c r="F19" s="26">
        <f t="shared" si="0"/>
        <v>6.9900000000000091</v>
      </c>
      <c r="G19" s="27">
        <v>279.99</v>
      </c>
      <c r="H19" s="27">
        <v>92</v>
      </c>
      <c r="I19" s="27"/>
      <c r="J19" s="28"/>
    </row>
    <row r="20" spans="1:11">
      <c r="A20" s="23">
        <v>45382</v>
      </c>
      <c r="B20" s="24">
        <v>3697</v>
      </c>
      <c r="C20" s="29">
        <v>67</v>
      </c>
      <c r="D20" s="25">
        <v>2635.2700092792511</v>
      </c>
      <c r="E20" s="24">
        <v>71</v>
      </c>
      <c r="F20" s="26">
        <f t="shared" si="0"/>
        <v>7.4800000000000182</v>
      </c>
      <c r="G20" s="27">
        <v>280.48</v>
      </c>
      <c r="H20" s="27">
        <v>88</v>
      </c>
      <c r="I20" s="27"/>
      <c r="J20" s="28"/>
    </row>
    <row r="21" spans="1:11">
      <c r="A21" s="23">
        <v>45383.041666666672</v>
      </c>
      <c r="B21" s="24">
        <v>4945</v>
      </c>
      <c r="C21" s="29">
        <v>67</v>
      </c>
      <c r="D21" s="25">
        <v>3513.1099590063095</v>
      </c>
      <c r="E21" s="24">
        <v>72</v>
      </c>
      <c r="F21" s="26">
        <f t="shared" si="0"/>
        <v>8.7099999999999795</v>
      </c>
      <c r="G21" s="27">
        <v>281.70999999999998</v>
      </c>
      <c r="H21" s="27">
        <v>86</v>
      </c>
      <c r="I21" s="27"/>
      <c r="J21" s="28"/>
    </row>
    <row r="22" spans="1:11">
      <c r="A22" s="23">
        <v>45384.041666666672</v>
      </c>
      <c r="B22" s="24">
        <v>4182</v>
      </c>
      <c r="C22" s="29">
        <v>67</v>
      </c>
      <c r="D22" s="25">
        <v>3133.9200216531754</v>
      </c>
      <c r="E22" s="24">
        <v>81</v>
      </c>
      <c r="F22" s="26">
        <f t="shared" si="0"/>
        <v>10.759999999999991</v>
      </c>
      <c r="G22" s="27">
        <v>283.76</v>
      </c>
      <c r="H22" s="27">
        <v>91</v>
      </c>
      <c r="I22" s="27"/>
      <c r="J22" s="28"/>
    </row>
    <row r="23" spans="1:11">
      <c r="A23" s="23">
        <v>45385.041666666672</v>
      </c>
      <c r="B23" s="24">
        <v>4965</v>
      </c>
      <c r="C23" s="24">
        <v>66.7</v>
      </c>
      <c r="D23" s="25">
        <v>3529.2073891162872</v>
      </c>
      <c r="E23" s="24">
        <v>83</v>
      </c>
      <c r="F23" s="26">
        <f t="shared" si="0"/>
        <v>12.300000000000011</v>
      </c>
      <c r="G23" s="27">
        <v>285.3</v>
      </c>
      <c r="H23" s="27">
        <v>86</v>
      </c>
      <c r="I23" s="27"/>
      <c r="J23" s="28"/>
    </row>
    <row r="24" spans="1:11">
      <c r="A24" s="23">
        <v>45386.041666666672</v>
      </c>
      <c r="B24" s="24">
        <v>9149</v>
      </c>
      <c r="C24" s="24">
        <v>66.7</v>
      </c>
      <c r="D24" s="25">
        <v>6711.5000059902668</v>
      </c>
      <c r="E24" s="24">
        <v>70</v>
      </c>
      <c r="F24" s="26">
        <f t="shared" si="0"/>
        <v>13.04000000000002</v>
      </c>
      <c r="G24" s="27">
        <v>286.04000000000002</v>
      </c>
      <c r="H24" s="27">
        <v>79</v>
      </c>
      <c r="I24" s="27"/>
      <c r="J24" s="28"/>
    </row>
    <row r="25" spans="1:11">
      <c r="A25" s="23">
        <v>45387.041666666672</v>
      </c>
      <c r="B25" s="24">
        <v>6958</v>
      </c>
      <c r="C25" s="24">
        <v>66.7</v>
      </c>
      <c r="D25" s="25">
        <v>4715.324399471283</v>
      </c>
      <c r="E25" s="24">
        <v>100</v>
      </c>
      <c r="F25" s="26">
        <f t="shared" si="0"/>
        <v>17.410000000000025</v>
      </c>
      <c r="G25" s="27">
        <v>290.41000000000003</v>
      </c>
      <c r="H25" s="27">
        <v>60</v>
      </c>
      <c r="I25" s="27"/>
      <c r="J25" s="28"/>
    </row>
    <row r="26" spans="1:11">
      <c r="A26" s="23">
        <v>45388.041666666672</v>
      </c>
      <c r="B26" s="24">
        <v>10512</v>
      </c>
      <c r="C26" s="24">
        <v>66.7</v>
      </c>
      <c r="D26" s="25">
        <v>7044.9352548122406</v>
      </c>
      <c r="E26" s="24">
        <v>87</v>
      </c>
      <c r="F26" s="26">
        <f t="shared" si="0"/>
        <v>13.839999999999975</v>
      </c>
      <c r="G26" s="27">
        <v>286.83999999999997</v>
      </c>
      <c r="H26" s="27">
        <v>85</v>
      </c>
      <c r="I26" s="27"/>
      <c r="J26" s="28"/>
    </row>
    <row r="27" spans="1:11">
      <c r="A27" s="23">
        <v>45389.041666666672</v>
      </c>
      <c r="B27" s="24">
        <v>4922</v>
      </c>
      <c r="C27" s="24">
        <v>66.7</v>
      </c>
      <c r="D27" s="25">
        <v>3394.4774345159531</v>
      </c>
      <c r="E27" s="24">
        <v>70</v>
      </c>
      <c r="F27" s="26">
        <f t="shared" si="0"/>
        <v>12.939999999999998</v>
      </c>
      <c r="G27" s="27">
        <v>285.94</v>
      </c>
      <c r="H27" s="27">
        <v>84</v>
      </c>
      <c r="I27" s="27"/>
      <c r="J27" s="28"/>
    </row>
    <row r="28" spans="1:11">
      <c r="A28" s="23">
        <v>45390.041666666672</v>
      </c>
      <c r="B28" s="24">
        <v>5879</v>
      </c>
      <c r="C28" s="24">
        <v>66.7</v>
      </c>
      <c r="D28" s="25">
        <v>4345.3000206947327</v>
      </c>
      <c r="E28" s="24">
        <v>68</v>
      </c>
      <c r="F28" s="26">
        <f t="shared" si="0"/>
        <v>9.6399999999999864</v>
      </c>
      <c r="G28" s="27">
        <v>282.64</v>
      </c>
      <c r="H28" s="27">
        <v>84</v>
      </c>
      <c r="I28" s="27"/>
      <c r="J28" s="28"/>
    </row>
    <row r="29" spans="1:11">
      <c r="A29" s="23">
        <v>45391.041666666672</v>
      </c>
      <c r="B29" s="24">
        <v>5839</v>
      </c>
      <c r="C29" s="24">
        <v>66.7</v>
      </c>
      <c r="D29" s="25">
        <v>4204.1300072669983</v>
      </c>
      <c r="E29" s="24">
        <v>66</v>
      </c>
      <c r="F29" s="26">
        <f t="shared" si="0"/>
        <v>9.910000000000025</v>
      </c>
      <c r="G29" s="27">
        <v>282.91000000000003</v>
      </c>
      <c r="H29" s="27">
        <v>75</v>
      </c>
      <c r="I29" s="27"/>
      <c r="J29" s="28"/>
    </row>
    <row r="30" spans="1:11">
      <c r="A30" s="23">
        <v>45392.041666666672</v>
      </c>
      <c r="B30" s="24">
        <v>5594</v>
      </c>
      <c r="C30" s="24">
        <v>66.7</v>
      </c>
      <c r="D30" s="25">
        <v>4133.2599754333496</v>
      </c>
      <c r="E30" s="24">
        <v>72</v>
      </c>
      <c r="F30" s="26">
        <f t="shared" si="0"/>
        <v>14.170000000000016</v>
      </c>
      <c r="G30" s="27">
        <v>287.17</v>
      </c>
      <c r="H30" s="27">
        <v>68</v>
      </c>
      <c r="I30" s="27"/>
      <c r="J30" s="28"/>
    </row>
    <row r="31" spans="1:11">
      <c r="A31" s="30"/>
      <c r="B31" s="31"/>
      <c r="C31" s="31"/>
      <c r="D31" s="31"/>
      <c r="E31" s="31"/>
      <c r="F31" s="32"/>
      <c r="G31" s="31"/>
      <c r="H31" s="31"/>
      <c r="I31" s="31"/>
    </row>
    <row r="32" spans="1:11">
      <c r="A32" s="33"/>
      <c r="B32" s="34"/>
      <c r="C32" s="34"/>
      <c r="D32" s="34"/>
      <c r="E32" s="34"/>
      <c r="F32" s="35"/>
      <c r="G32" s="36"/>
      <c r="H32" s="36"/>
      <c r="I32" s="36"/>
      <c r="J32" s="37"/>
      <c r="K32" s="37"/>
    </row>
    <row r="33" spans="1:9">
      <c r="A33" s="33"/>
      <c r="B33" s="34"/>
      <c r="C33" s="34"/>
      <c r="D33" s="34"/>
      <c r="E33" s="34"/>
      <c r="F33" s="38"/>
      <c r="G33" s="34"/>
      <c r="H33" s="34"/>
      <c r="I33" s="34"/>
    </row>
    <row r="34" spans="1:9">
      <c r="A34" s="39"/>
      <c r="F34" s="40"/>
    </row>
    <row r="35" spans="1:9">
      <c r="A35" s="39"/>
      <c r="F35" s="40"/>
    </row>
    <row r="36" spans="1:9">
      <c r="A36" s="39"/>
      <c r="F36" s="40"/>
    </row>
    <row r="37" spans="1:9">
      <c r="A37" s="39"/>
      <c r="F37" s="40"/>
    </row>
    <row r="38" spans="1:9">
      <c r="A38" s="39"/>
      <c r="F38" s="40"/>
    </row>
    <row r="39" spans="1:9">
      <c r="A39" s="39"/>
      <c r="F39" s="40"/>
    </row>
    <row r="40" spans="1:9">
      <c r="A40" s="39"/>
      <c r="F40" s="40"/>
    </row>
    <row r="41" spans="1:9">
      <c r="A41" s="39"/>
      <c r="F41" s="40"/>
    </row>
    <row r="42" spans="1:9">
      <c r="A42" s="39"/>
      <c r="F42" s="40"/>
    </row>
    <row r="43" spans="1:9">
      <c r="A43" s="39"/>
      <c r="F43" s="40"/>
    </row>
    <row r="44" spans="1:9">
      <c r="A44" s="39"/>
      <c r="F44" s="40"/>
    </row>
    <row r="45" spans="1:9">
      <c r="A45" s="39"/>
      <c r="F45" s="40"/>
    </row>
    <row r="46" spans="1:9">
      <c r="A46" s="39"/>
      <c r="F46" s="40"/>
    </row>
    <row r="47" spans="1:9">
      <c r="A47" s="39"/>
      <c r="F47" s="40"/>
    </row>
    <row r="48" spans="1:9">
      <c r="A48" s="39"/>
      <c r="F48" s="40"/>
    </row>
    <row r="49" spans="1:6">
      <c r="A49" s="39"/>
      <c r="F49" s="40"/>
    </row>
    <row r="50" spans="1:6">
      <c r="A50" s="39"/>
      <c r="F50" s="40"/>
    </row>
    <row r="51" spans="1:6">
      <c r="A51" s="39"/>
      <c r="F51" s="40"/>
    </row>
    <row r="52" spans="1:6">
      <c r="A52" s="39"/>
      <c r="F52" s="40"/>
    </row>
    <row r="53" spans="1:6">
      <c r="A53" s="39"/>
      <c r="F53" s="40"/>
    </row>
    <row r="54" spans="1:6">
      <c r="A54" s="39"/>
      <c r="F54" s="40"/>
    </row>
    <row r="55" spans="1:6">
      <c r="A55" s="39"/>
      <c r="F55" s="40"/>
    </row>
    <row r="56" spans="1:6">
      <c r="A56" s="39"/>
      <c r="F56" s="40"/>
    </row>
    <row r="57" spans="1:6">
      <c r="A57" s="39"/>
      <c r="F57" s="40"/>
    </row>
    <row r="58" spans="1:6">
      <c r="A58" s="39"/>
      <c r="F58" s="40"/>
    </row>
    <row r="59" spans="1:6">
      <c r="A59" s="39"/>
      <c r="F59" s="40"/>
    </row>
    <row r="60" spans="1:6">
      <c r="A60" s="39"/>
      <c r="F60" s="40"/>
    </row>
    <row r="61" spans="1:6">
      <c r="A61" s="39"/>
      <c r="F61" s="40"/>
    </row>
    <row r="62" spans="1:6">
      <c r="A62" s="39"/>
      <c r="F62" s="40"/>
    </row>
    <row r="63" spans="1:6">
      <c r="A63" s="39"/>
      <c r="F63" s="40"/>
    </row>
    <row r="64" spans="1:6">
      <c r="A64" s="39"/>
      <c r="F64" s="40"/>
    </row>
    <row r="65" spans="1:6">
      <c r="A65" s="39"/>
      <c r="F65" s="40"/>
    </row>
    <row r="66" spans="1:6">
      <c r="A66" s="39"/>
      <c r="F66" s="40"/>
    </row>
    <row r="67" spans="1:6">
      <c r="A67" s="39"/>
      <c r="F67" s="40"/>
    </row>
    <row r="68" spans="1:6">
      <c r="A68" s="39"/>
      <c r="F68" s="40"/>
    </row>
    <row r="69" spans="1:6">
      <c r="A69" s="39"/>
      <c r="F69" s="40"/>
    </row>
    <row r="70" spans="1:6">
      <c r="A70" s="39"/>
      <c r="F70" s="40"/>
    </row>
    <row r="71" spans="1:6">
      <c r="A71" s="39"/>
      <c r="F71" s="40"/>
    </row>
    <row r="72" spans="1:6">
      <c r="A72" s="39"/>
      <c r="F72" s="40"/>
    </row>
    <row r="73" spans="1:6">
      <c r="A73" s="39"/>
      <c r="F73" s="40"/>
    </row>
    <row r="74" spans="1:6">
      <c r="A74" s="39"/>
      <c r="F74" s="40"/>
    </row>
    <row r="75" spans="1:6">
      <c r="A75" s="39"/>
      <c r="F75" s="40"/>
    </row>
    <row r="76" spans="1:6">
      <c r="A76" s="39"/>
      <c r="F76" s="40"/>
    </row>
    <row r="77" spans="1:6">
      <c r="A77" s="39"/>
      <c r="F77" s="40"/>
    </row>
    <row r="78" spans="1:6">
      <c r="A78" s="39"/>
      <c r="F78" s="40"/>
    </row>
    <row r="79" spans="1:6">
      <c r="A79" s="39"/>
      <c r="F79" s="40"/>
    </row>
    <row r="80" spans="1:6">
      <c r="A80" s="39"/>
      <c r="F80" s="40"/>
    </row>
    <row r="81" spans="1:6">
      <c r="A81" s="39"/>
      <c r="F81" s="40"/>
    </row>
    <row r="82" spans="1:6">
      <c r="A82" s="39"/>
      <c r="F82" s="40"/>
    </row>
    <row r="83" spans="1:6">
      <c r="A83" s="39"/>
      <c r="F83" s="40"/>
    </row>
    <row r="84" spans="1:6">
      <c r="A84" s="39"/>
      <c r="F84" s="40"/>
    </row>
    <row r="85" spans="1:6">
      <c r="A85" s="39"/>
      <c r="F85" s="40"/>
    </row>
    <row r="86" spans="1:6">
      <c r="A86" s="39"/>
      <c r="F86" s="40"/>
    </row>
    <row r="87" spans="1:6">
      <c r="A87" s="39"/>
      <c r="F87" s="40"/>
    </row>
    <row r="88" spans="1:6">
      <c r="A88" s="39"/>
      <c r="F88" s="40"/>
    </row>
    <row r="89" spans="1:6">
      <c r="A89" s="39"/>
      <c r="F89" s="40"/>
    </row>
    <row r="90" spans="1:6">
      <c r="A90" s="39"/>
      <c r="F90" s="40"/>
    </row>
    <row r="91" spans="1:6">
      <c r="A91" s="39"/>
      <c r="F91" s="40"/>
    </row>
    <row r="92" spans="1:6">
      <c r="A92" s="39"/>
      <c r="F92" s="40"/>
    </row>
    <row r="93" spans="1:6">
      <c r="A93" s="39"/>
      <c r="F93" s="40"/>
    </row>
    <row r="94" spans="1:6">
      <c r="A94" s="39"/>
      <c r="F94" s="40"/>
    </row>
    <row r="95" spans="1:6">
      <c r="A95" s="39"/>
      <c r="F95" s="40"/>
    </row>
    <row r="96" spans="1:6">
      <c r="A96" s="39"/>
      <c r="F96" s="40"/>
    </row>
    <row r="97" spans="1:6">
      <c r="A97" s="39"/>
      <c r="F97" s="40"/>
    </row>
    <row r="98" spans="1:6">
      <c r="A98" s="39"/>
      <c r="F98" s="40"/>
    </row>
    <row r="99" spans="1:6">
      <c r="A99" s="39"/>
      <c r="F99" s="40"/>
    </row>
    <row r="100" spans="1:6">
      <c r="A100" s="39"/>
      <c r="F100" s="40"/>
    </row>
    <row r="101" spans="1:6">
      <c r="A101" s="39"/>
      <c r="F101" s="40"/>
    </row>
    <row r="102" spans="1:6">
      <c r="A102" s="39"/>
      <c r="F102" s="40"/>
    </row>
    <row r="103" spans="1:6">
      <c r="A103" s="39"/>
      <c r="F103" s="40"/>
    </row>
    <row r="104" spans="1:6">
      <c r="A104" s="39"/>
      <c r="F104" s="40"/>
    </row>
    <row r="105" spans="1:6">
      <c r="A105" s="39"/>
      <c r="F105" s="40"/>
    </row>
    <row r="106" spans="1:6">
      <c r="A106" s="39"/>
      <c r="F106" s="40"/>
    </row>
    <row r="107" spans="1:6">
      <c r="A107" s="39"/>
      <c r="F107" s="40"/>
    </row>
    <row r="108" spans="1:6">
      <c r="A108" s="39"/>
      <c r="F108" s="40"/>
    </row>
    <row r="109" spans="1:6">
      <c r="A109" s="39"/>
      <c r="F109" s="40"/>
    </row>
    <row r="110" spans="1:6">
      <c r="A110" s="39"/>
      <c r="F110" s="40"/>
    </row>
    <row r="111" spans="1:6">
      <c r="A111" s="39"/>
      <c r="F111" s="40"/>
    </row>
    <row r="112" spans="1:6">
      <c r="A112" s="39"/>
      <c r="F112" s="40"/>
    </row>
    <row r="113" spans="1:6">
      <c r="A113" s="39"/>
      <c r="F113" s="40"/>
    </row>
    <row r="114" spans="1:6">
      <c r="A114" s="39"/>
      <c r="F114" s="40"/>
    </row>
    <row r="115" spans="1:6">
      <c r="A115" s="39"/>
      <c r="F115" s="40"/>
    </row>
    <row r="116" spans="1:6">
      <c r="A116" s="39"/>
      <c r="F116" s="40"/>
    </row>
    <row r="117" spans="1:6">
      <c r="A117" s="39"/>
      <c r="F117" s="40"/>
    </row>
    <row r="118" spans="1:6">
      <c r="A118" s="39"/>
      <c r="F118" s="40"/>
    </row>
    <row r="119" spans="1:6">
      <c r="A119" s="39"/>
      <c r="F119" s="40"/>
    </row>
    <row r="120" spans="1:6">
      <c r="A120" s="39"/>
      <c r="F120" s="40"/>
    </row>
    <row r="121" spans="1:6">
      <c r="A121" s="39"/>
      <c r="F121" s="40"/>
    </row>
    <row r="122" spans="1:6">
      <c r="A122" s="39"/>
      <c r="F122" s="40"/>
    </row>
    <row r="123" spans="1:6">
      <c r="A123" s="39"/>
      <c r="F123" s="40"/>
    </row>
    <row r="124" spans="1:6">
      <c r="A124" s="39"/>
      <c r="F124" s="40"/>
    </row>
    <row r="125" spans="1:6">
      <c r="A125" s="39"/>
      <c r="F125" s="40"/>
    </row>
    <row r="126" spans="1:6">
      <c r="A126" s="39"/>
      <c r="F126" s="40"/>
    </row>
    <row r="127" spans="1:6">
      <c r="A127" s="39"/>
      <c r="F127" s="40"/>
    </row>
    <row r="128" spans="1:6">
      <c r="A128" s="39"/>
      <c r="F128" s="40"/>
    </row>
    <row r="129" spans="1:6">
      <c r="A129" s="39"/>
      <c r="F129" s="40"/>
    </row>
    <row r="130" spans="1:6">
      <c r="A130" s="39"/>
      <c r="F130" s="40"/>
    </row>
    <row r="131" spans="1:6">
      <c r="A131" s="39"/>
      <c r="F131" s="40"/>
    </row>
    <row r="132" spans="1:6">
      <c r="A132" s="39"/>
      <c r="F132" s="40"/>
    </row>
    <row r="133" spans="1:6">
      <c r="A133" s="39"/>
      <c r="F133" s="40"/>
    </row>
    <row r="134" spans="1:6">
      <c r="A134" s="39"/>
      <c r="F134" s="40"/>
    </row>
    <row r="135" spans="1:6">
      <c r="A135" s="39"/>
      <c r="F135" s="40"/>
    </row>
    <row r="136" spans="1:6">
      <c r="A136" s="39"/>
      <c r="F136" s="40"/>
    </row>
    <row r="137" spans="1:6">
      <c r="A137" s="39"/>
      <c r="F137" s="40"/>
    </row>
    <row r="138" spans="1:6">
      <c r="A138" s="39"/>
      <c r="F138" s="40"/>
    </row>
    <row r="139" spans="1:6">
      <c r="A139" s="39"/>
      <c r="F139" s="40"/>
    </row>
    <row r="140" spans="1:6">
      <c r="A140" s="39"/>
      <c r="F140" s="40"/>
    </row>
    <row r="141" spans="1:6">
      <c r="A141" s="39"/>
      <c r="F141" s="40"/>
    </row>
    <row r="142" spans="1:6">
      <c r="A142" s="39"/>
      <c r="F142" s="40"/>
    </row>
    <row r="143" spans="1:6">
      <c r="A143" s="39"/>
      <c r="F143" s="40"/>
    </row>
    <row r="144" spans="1:6">
      <c r="A144" s="39"/>
      <c r="F144" s="40"/>
    </row>
    <row r="145" spans="1:6">
      <c r="A145" s="39"/>
      <c r="F145" s="40"/>
    </row>
    <row r="146" spans="1:6">
      <c r="A146" s="39"/>
      <c r="F146" s="40"/>
    </row>
    <row r="147" spans="1:6">
      <c r="A147" s="39"/>
      <c r="F147" s="40"/>
    </row>
    <row r="148" spans="1:6">
      <c r="A148" s="39"/>
      <c r="F148" s="40"/>
    </row>
    <row r="149" spans="1:6">
      <c r="A149" s="39"/>
      <c r="F149" s="40"/>
    </row>
    <row r="150" spans="1:6">
      <c r="A150" s="39"/>
      <c r="F150" s="40"/>
    </row>
    <row r="151" spans="1:6">
      <c r="A151" s="39"/>
      <c r="F151" s="40"/>
    </row>
    <row r="152" spans="1:6">
      <c r="A152" s="39"/>
      <c r="F152" s="40"/>
    </row>
    <row r="153" spans="1:6">
      <c r="A153" s="39"/>
      <c r="F153" s="40"/>
    </row>
    <row r="154" spans="1:6">
      <c r="A154" s="39"/>
      <c r="F154" s="40"/>
    </row>
    <row r="155" spans="1:6">
      <c r="A155" s="39"/>
      <c r="F155" s="40"/>
    </row>
    <row r="156" spans="1:6">
      <c r="A156" s="39"/>
      <c r="F156" s="40"/>
    </row>
    <row r="157" spans="1:6">
      <c r="A157" s="39"/>
      <c r="F157" s="40"/>
    </row>
    <row r="158" spans="1:6">
      <c r="A158" s="39"/>
      <c r="F158" s="40"/>
    </row>
    <row r="159" spans="1:6">
      <c r="A159" s="39"/>
      <c r="F159" s="40"/>
    </row>
    <row r="160" spans="1:6">
      <c r="A160" s="39"/>
      <c r="F160" s="40"/>
    </row>
    <row r="161" spans="1:6">
      <c r="A161" s="39"/>
      <c r="F161" s="40"/>
    </row>
    <row r="162" spans="1:6">
      <c r="A162" s="39"/>
      <c r="F162" s="40"/>
    </row>
    <row r="163" spans="1:6">
      <c r="A163" s="39"/>
      <c r="F163" s="40"/>
    </row>
    <row r="164" spans="1:6">
      <c r="A164" s="39"/>
      <c r="F164" s="40"/>
    </row>
    <row r="165" spans="1:6">
      <c r="A165" s="39"/>
      <c r="F165" s="40"/>
    </row>
    <row r="166" spans="1:6">
      <c r="A166" s="39"/>
      <c r="F166" s="40"/>
    </row>
    <row r="167" spans="1:6">
      <c r="A167" s="39"/>
      <c r="F167" s="40"/>
    </row>
    <row r="168" spans="1:6">
      <c r="A168" s="39"/>
      <c r="F168" s="40"/>
    </row>
    <row r="169" spans="1:6">
      <c r="A169" s="39"/>
      <c r="F169" s="40"/>
    </row>
    <row r="170" spans="1:6">
      <c r="A170" s="39"/>
      <c r="F170" s="40"/>
    </row>
    <row r="171" spans="1:6">
      <c r="A171" s="39"/>
      <c r="F171" s="40"/>
    </row>
    <row r="172" spans="1:6">
      <c r="A172" s="39"/>
      <c r="F172" s="40"/>
    </row>
    <row r="173" spans="1:6">
      <c r="A173" s="39"/>
      <c r="F173" s="40"/>
    </row>
    <row r="174" spans="1:6">
      <c r="A174" s="39"/>
      <c r="F174" s="40"/>
    </row>
    <row r="175" spans="1:6">
      <c r="A175" s="39"/>
      <c r="F175" s="40"/>
    </row>
    <row r="176" spans="1:6">
      <c r="A176" s="39"/>
      <c r="F176" s="40"/>
    </row>
    <row r="177" spans="1:6">
      <c r="A177" s="39"/>
      <c r="F177" s="40"/>
    </row>
    <row r="178" spans="1:6">
      <c r="A178" s="39"/>
      <c r="F178" s="40"/>
    </row>
    <row r="179" spans="1:6">
      <c r="A179" s="39"/>
      <c r="F179" s="40"/>
    </row>
    <row r="180" spans="1:6">
      <c r="A180" s="39"/>
      <c r="F180" s="40"/>
    </row>
    <row r="181" spans="1:6">
      <c r="A181" s="39"/>
      <c r="F181" s="40"/>
    </row>
    <row r="182" spans="1:6">
      <c r="A182" s="39"/>
      <c r="F182" s="40"/>
    </row>
    <row r="183" spans="1:6">
      <c r="A183" s="39"/>
      <c r="F183" s="40"/>
    </row>
    <row r="184" spans="1:6">
      <c r="A184" s="39"/>
      <c r="F184" s="40"/>
    </row>
    <row r="185" spans="1:6">
      <c r="A185" s="39"/>
      <c r="F185" s="40"/>
    </row>
    <row r="186" spans="1:6">
      <c r="A186" s="39"/>
      <c r="F186" s="40"/>
    </row>
    <row r="187" spans="1:6">
      <c r="A187" s="39"/>
      <c r="F187" s="40"/>
    </row>
    <row r="188" spans="1:6">
      <c r="A188" s="39"/>
      <c r="F188" s="40"/>
    </row>
    <row r="189" spans="1:6">
      <c r="A189" s="39"/>
      <c r="F189" s="40"/>
    </row>
    <row r="190" spans="1:6">
      <c r="A190" s="39"/>
      <c r="F190" s="40"/>
    </row>
    <row r="191" spans="1:6">
      <c r="A191" s="39"/>
      <c r="F191" s="40"/>
    </row>
    <row r="192" spans="1:6">
      <c r="A192" s="39"/>
      <c r="F192" s="40"/>
    </row>
    <row r="193" spans="1:6">
      <c r="A193" s="39"/>
      <c r="F193" s="40"/>
    </row>
    <row r="194" spans="1:6">
      <c r="A194" s="39"/>
      <c r="F194" s="40"/>
    </row>
    <row r="195" spans="1:6">
      <c r="A195" s="39"/>
      <c r="F195" s="40"/>
    </row>
    <row r="196" spans="1:6">
      <c r="A196" s="39"/>
      <c r="F196" s="40"/>
    </row>
    <row r="197" spans="1:6">
      <c r="A197" s="39"/>
      <c r="F197" s="40"/>
    </row>
    <row r="198" spans="1:6">
      <c r="A198" s="39"/>
      <c r="F198" s="40"/>
    </row>
    <row r="199" spans="1:6">
      <c r="A199" s="39"/>
      <c r="F199" s="40"/>
    </row>
    <row r="200" spans="1:6">
      <c r="A200" s="39"/>
      <c r="F200" s="40"/>
    </row>
    <row r="201" spans="1:6">
      <c r="A201" s="39"/>
      <c r="F201" s="40"/>
    </row>
    <row r="202" spans="1:6">
      <c r="A202" s="39"/>
      <c r="F202" s="40"/>
    </row>
    <row r="203" spans="1:6">
      <c r="A203" s="39"/>
      <c r="F203" s="40"/>
    </row>
    <row r="204" spans="1:6">
      <c r="A204" s="39"/>
      <c r="F204" s="40"/>
    </row>
    <row r="205" spans="1:6">
      <c r="A205" s="39"/>
      <c r="F205" s="40"/>
    </row>
    <row r="206" spans="1:6">
      <c r="A206" s="39"/>
      <c r="F206" s="40"/>
    </row>
    <row r="207" spans="1:6">
      <c r="A207" s="39"/>
      <c r="F207" s="40"/>
    </row>
    <row r="208" spans="1:6">
      <c r="A208" s="39"/>
      <c r="F208" s="40"/>
    </row>
    <row r="209" spans="1:6">
      <c r="A209" s="39"/>
      <c r="F209" s="40"/>
    </row>
    <row r="210" spans="1:6">
      <c r="A210" s="39"/>
      <c r="F210" s="40"/>
    </row>
    <row r="211" spans="1:6">
      <c r="A211" s="39"/>
      <c r="F211" s="40"/>
    </row>
    <row r="212" spans="1:6">
      <c r="A212" s="39"/>
      <c r="F212" s="40"/>
    </row>
    <row r="213" spans="1:6">
      <c r="A213" s="39"/>
      <c r="F213" s="40"/>
    </row>
    <row r="214" spans="1:6">
      <c r="A214" s="39"/>
      <c r="F214" s="40"/>
    </row>
    <row r="215" spans="1:6">
      <c r="A215" s="39"/>
      <c r="F215" s="40"/>
    </row>
    <row r="216" spans="1:6">
      <c r="A216" s="39"/>
      <c r="F216" s="40"/>
    </row>
    <row r="217" spans="1:6">
      <c r="A217" s="39"/>
      <c r="F217" s="40"/>
    </row>
    <row r="218" spans="1:6">
      <c r="A218" s="39"/>
      <c r="F218" s="40"/>
    </row>
    <row r="219" spans="1:6">
      <c r="A219" s="39"/>
      <c r="F219" s="40"/>
    </row>
    <row r="220" spans="1:6">
      <c r="A220" s="39"/>
      <c r="F220" s="40"/>
    </row>
    <row r="221" spans="1:6">
      <c r="A221" s="39"/>
      <c r="F221" s="40"/>
    </row>
    <row r="222" spans="1:6">
      <c r="A222" s="39"/>
      <c r="F222" s="40"/>
    </row>
    <row r="223" spans="1:6">
      <c r="A223" s="39"/>
      <c r="F223" s="40"/>
    </row>
    <row r="224" spans="1:6">
      <c r="A224" s="39"/>
      <c r="F224" s="40"/>
    </row>
    <row r="225" spans="1:6">
      <c r="A225" s="39"/>
      <c r="F225" s="40"/>
    </row>
    <row r="226" spans="1:6">
      <c r="A226" s="39"/>
      <c r="F226" s="40"/>
    </row>
    <row r="227" spans="1:6">
      <c r="A227" s="39"/>
      <c r="F227" s="40"/>
    </row>
    <row r="228" spans="1:6">
      <c r="A228" s="39"/>
      <c r="F228" s="40"/>
    </row>
    <row r="229" spans="1:6">
      <c r="A229" s="39"/>
      <c r="F229" s="40"/>
    </row>
    <row r="230" spans="1:6">
      <c r="A230" s="39"/>
      <c r="F230" s="40"/>
    </row>
    <row r="231" spans="1:6">
      <c r="A231" s="39"/>
      <c r="F231" s="40"/>
    </row>
    <row r="232" spans="1:6">
      <c r="A232" s="39"/>
      <c r="F232" s="40"/>
    </row>
    <row r="233" spans="1:6">
      <c r="A233" s="39"/>
      <c r="F233" s="40"/>
    </row>
    <row r="234" spans="1:6">
      <c r="A234" s="39"/>
      <c r="F234" s="40"/>
    </row>
    <row r="235" spans="1:6">
      <c r="A235" s="39"/>
      <c r="F235" s="40"/>
    </row>
    <row r="236" spans="1:6">
      <c r="A236" s="39"/>
      <c r="F236" s="40"/>
    </row>
    <row r="237" spans="1:6">
      <c r="A237" s="39"/>
      <c r="F237" s="40"/>
    </row>
    <row r="238" spans="1:6">
      <c r="A238" s="39"/>
      <c r="F238" s="40"/>
    </row>
    <row r="239" spans="1:6">
      <c r="A239" s="39"/>
      <c r="F239" s="40"/>
    </row>
    <row r="240" spans="1:6">
      <c r="A240" s="39"/>
      <c r="F240" s="40"/>
    </row>
    <row r="241" spans="1:6">
      <c r="A241" s="39"/>
      <c r="F241" s="40"/>
    </row>
    <row r="242" spans="1:6">
      <c r="A242" s="39"/>
      <c r="F242" s="40"/>
    </row>
    <row r="243" spans="1:6">
      <c r="A243" s="39"/>
      <c r="F243" s="40"/>
    </row>
    <row r="244" spans="1:6">
      <c r="A244" s="39"/>
      <c r="F244" s="40"/>
    </row>
    <row r="245" spans="1:6">
      <c r="A245" s="39"/>
      <c r="F245" s="40"/>
    </row>
    <row r="246" spans="1:6">
      <c r="A246" s="39"/>
      <c r="F246" s="40"/>
    </row>
    <row r="247" spans="1:6">
      <c r="A247" s="39"/>
      <c r="F247" s="40"/>
    </row>
    <row r="248" spans="1:6">
      <c r="A248" s="39"/>
      <c r="F248" s="40"/>
    </row>
    <row r="249" spans="1:6">
      <c r="A249" s="39"/>
      <c r="F249" s="40"/>
    </row>
    <row r="250" spans="1:6">
      <c r="A250" s="39"/>
      <c r="F250" s="40"/>
    </row>
    <row r="251" spans="1:6">
      <c r="A251" s="39"/>
      <c r="F251" s="40"/>
    </row>
    <row r="252" spans="1:6">
      <c r="A252" s="39"/>
      <c r="F252" s="40"/>
    </row>
    <row r="253" spans="1:6">
      <c r="A253" s="39"/>
      <c r="F253" s="40"/>
    </row>
    <row r="254" spans="1:6">
      <c r="A254" s="39"/>
      <c r="F254" s="40"/>
    </row>
    <row r="255" spans="1:6">
      <c r="A255" s="39"/>
      <c r="F255" s="40"/>
    </row>
    <row r="256" spans="1:6">
      <c r="A256" s="39"/>
      <c r="F256" s="40"/>
    </row>
    <row r="257" spans="1:6">
      <c r="A257" s="39"/>
      <c r="F257" s="40"/>
    </row>
    <row r="258" spans="1:6">
      <c r="A258" s="39"/>
      <c r="F258" s="40"/>
    </row>
    <row r="259" spans="1:6">
      <c r="A259" s="39"/>
      <c r="F259" s="40"/>
    </row>
    <row r="260" spans="1:6">
      <c r="A260" s="39"/>
      <c r="F260" s="40"/>
    </row>
    <row r="261" spans="1:6">
      <c r="A261" s="39"/>
      <c r="F261" s="40"/>
    </row>
    <row r="262" spans="1:6">
      <c r="A262" s="39"/>
      <c r="F262" s="40"/>
    </row>
    <row r="263" spans="1:6">
      <c r="A263" s="39"/>
      <c r="F263" s="40"/>
    </row>
    <row r="264" spans="1:6">
      <c r="A264" s="39"/>
      <c r="F264" s="40"/>
    </row>
    <row r="265" spans="1:6">
      <c r="A265" s="39"/>
      <c r="F265" s="40"/>
    </row>
    <row r="266" spans="1:6">
      <c r="A266" s="39"/>
      <c r="F266" s="40"/>
    </row>
    <row r="267" spans="1:6">
      <c r="A267" s="39"/>
      <c r="F267" s="40"/>
    </row>
    <row r="268" spans="1:6">
      <c r="A268" s="39"/>
      <c r="F268" s="40"/>
    </row>
    <row r="269" spans="1:6">
      <c r="A269" s="39"/>
      <c r="F269" s="40"/>
    </row>
    <row r="270" spans="1:6">
      <c r="A270" s="39"/>
      <c r="F270" s="40"/>
    </row>
    <row r="271" spans="1:6">
      <c r="A271" s="39"/>
      <c r="F271" s="40"/>
    </row>
    <row r="272" spans="1:6">
      <c r="A272" s="39"/>
      <c r="F272" s="40"/>
    </row>
    <row r="273" spans="1:6">
      <c r="A273" s="39"/>
      <c r="F273" s="40"/>
    </row>
    <row r="274" spans="1:6">
      <c r="A274" s="39"/>
      <c r="F274" s="40"/>
    </row>
    <row r="275" spans="1:6">
      <c r="A275" s="39"/>
      <c r="F275" s="40"/>
    </row>
    <row r="276" spans="1:6">
      <c r="A276" s="39"/>
      <c r="F276" s="40"/>
    </row>
    <row r="277" spans="1:6">
      <c r="A277" s="39"/>
      <c r="F277" s="40"/>
    </row>
    <row r="278" spans="1:6">
      <c r="A278" s="39"/>
      <c r="F278" s="40"/>
    </row>
    <row r="279" spans="1:6">
      <c r="A279" s="39"/>
      <c r="F279" s="40"/>
    </row>
    <row r="280" spans="1:6">
      <c r="A280" s="39"/>
      <c r="F280" s="40"/>
    </row>
    <row r="281" spans="1:6">
      <c r="A281" s="39"/>
      <c r="F281" s="40"/>
    </row>
    <row r="282" spans="1:6">
      <c r="A282" s="39"/>
      <c r="F282" s="40"/>
    </row>
    <row r="283" spans="1:6">
      <c r="A283" s="39"/>
      <c r="F283" s="40"/>
    </row>
    <row r="284" spans="1:6">
      <c r="A284" s="39"/>
      <c r="F284" s="40"/>
    </row>
    <row r="285" spans="1:6">
      <c r="A285" s="39"/>
      <c r="F285" s="40"/>
    </row>
    <row r="286" spans="1:6">
      <c r="A286" s="39"/>
      <c r="F286" s="40"/>
    </row>
    <row r="287" spans="1:6">
      <c r="A287" s="39"/>
      <c r="F287" s="40"/>
    </row>
    <row r="288" spans="1:6">
      <c r="A288" s="39"/>
      <c r="F288" s="40"/>
    </row>
    <row r="289" spans="1:6">
      <c r="A289" s="39"/>
      <c r="F289" s="40"/>
    </row>
    <row r="290" spans="1:6">
      <c r="A290" s="39"/>
      <c r="F290" s="40"/>
    </row>
    <row r="291" spans="1:6">
      <c r="A291" s="39"/>
      <c r="F291" s="40"/>
    </row>
    <row r="292" spans="1:6">
      <c r="A292" s="39"/>
      <c r="F292" s="40"/>
    </row>
    <row r="293" spans="1:6">
      <c r="A293" s="39"/>
      <c r="F293" s="40"/>
    </row>
    <row r="294" spans="1:6">
      <c r="A294" s="39"/>
      <c r="F294" s="40"/>
    </row>
    <row r="295" spans="1:6">
      <c r="A295" s="39"/>
      <c r="F295" s="40"/>
    </row>
    <row r="296" spans="1:6">
      <c r="A296" s="39"/>
      <c r="F296" s="40"/>
    </row>
    <row r="297" spans="1:6">
      <c r="A297" s="39"/>
      <c r="F297" s="40"/>
    </row>
    <row r="298" spans="1:6">
      <c r="A298" s="39"/>
      <c r="F298" s="40"/>
    </row>
    <row r="299" spans="1:6">
      <c r="A299" s="39"/>
      <c r="F299" s="40"/>
    </row>
    <row r="300" spans="1:6">
      <c r="A300" s="39"/>
      <c r="F300" s="40"/>
    </row>
    <row r="301" spans="1:6">
      <c r="A301" s="39"/>
      <c r="F301" s="40"/>
    </row>
    <row r="302" spans="1:6">
      <c r="A302" s="39"/>
      <c r="F302" s="40"/>
    </row>
    <row r="303" spans="1:6">
      <c r="A303" s="39"/>
      <c r="F303" s="40"/>
    </row>
    <row r="304" spans="1:6">
      <c r="A304" s="39"/>
      <c r="F304" s="40"/>
    </row>
    <row r="305" spans="1:6">
      <c r="A305" s="39"/>
      <c r="F305" s="40"/>
    </row>
    <row r="306" spans="1:6">
      <c r="A306" s="39"/>
      <c r="F306" s="40"/>
    </row>
    <row r="307" spans="1:6">
      <c r="A307" s="39"/>
      <c r="F307" s="40"/>
    </row>
    <row r="308" spans="1:6">
      <c r="A308" s="39"/>
      <c r="F308" s="40"/>
    </row>
    <row r="309" spans="1:6">
      <c r="A309" s="39"/>
      <c r="F309" s="40"/>
    </row>
    <row r="310" spans="1:6">
      <c r="A310" s="39"/>
      <c r="F310" s="40"/>
    </row>
    <row r="311" spans="1:6">
      <c r="A311" s="39"/>
      <c r="F311" s="40"/>
    </row>
    <row r="312" spans="1:6">
      <c r="A312" s="39"/>
      <c r="F312" s="40"/>
    </row>
    <row r="313" spans="1:6">
      <c r="A313" s="39"/>
      <c r="F313" s="40"/>
    </row>
    <row r="314" spans="1:6">
      <c r="A314" s="39"/>
      <c r="F314" s="40"/>
    </row>
    <row r="315" spans="1:6">
      <c r="A315" s="39"/>
      <c r="F315" s="40"/>
    </row>
    <row r="316" spans="1:6">
      <c r="A316" s="39"/>
      <c r="F316" s="40"/>
    </row>
    <row r="317" spans="1:6">
      <c r="A317" s="39"/>
      <c r="F317" s="40"/>
    </row>
    <row r="318" spans="1:6">
      <c r="A318" s="39"/>
      <c r="F318" s="40"/>
    </row>
    <row r="319" spans="1:6">
      <c r="A319" s="39"/>
      <c r="F319" s="40"/>
    </row>
    <row r="320" spans="1:6">
      <c r="A320" s="39"/>
      <c r="F320" s="40"/>
    </row>
    <row r="321" spans="1:6">
      <c r="A321" s="39"/>
      <c r="F321" s="40"/>
    </row>
    <row r="322" spans="1:6">
      <c r="A322" s="39"/>
      <c r="F322" s="40"/>
    </row>
    <row r="323" spans="1:6">
      <c r="A323" s="39"/>
      <c r="F323" s="40"/>
    </row>
    <row r="324" spans="1:6">
      <c r="A324" s="39"/>
      <c r="F324" s="40"/>
    </row>
    <row r="325" spans="1:6">
      <c r="A325" s="39"/>
      <c r="F325" s="40"/>
    </row>
    <row r="326" spans="1:6">
      <c r="A326" s="39"/>
      <c r="F326" s="40"/>
    </row>
    <row r="327" spans="1:6">
      <c r="A327" s="39"/>
      <c r="F327" s="40"/>
    </row>
    <row r="328" spans="1:6">
      <c r="A328" s="39"/>
      <c r="F328" s="40"/>
    </row>
    <row r="329" spans="1:6">
      <c r="A329" s="39"/>
      <c r="F329" s="40"/>
    </row>
    <row r="330" spans="1:6">
      <c r="A330" s="39"/>
      <c r="F330" s="40"/>
    </row>
    <row r="331" spans="1:6">
      <c r="A331" s="39"/>
      <c r="F331" s="40"/>
    </row>
    <row r="332" spans="1:6">
      <c r="A332" s="39"/>
      <c r="F332" s="40"/>
    </row>
    <row r="333" spans="1:6">
      <c r="A333" s="39"/>
      <c r="F333" s="40"/>
    </row>
    <row r="334" spans="1:6">
      <c r="A334" s="39"/>
      <c r="F334" s="40"/>
    </row>
    <row r="335" spans="1:6">
      <c r="A335" s="39"/>
      <c r="F335" s="40"/>
    </row>
    <row r="336" spans="1:6">
      <c r="A336" s="39"/>
      <c r="F336" s="40"/>
    </row>
    <row r="337" spans="1:6">
      <c r="A337" s="39"/>
      <c r="F337" s="40"/>
    </row>
    <row r="338" spans="1:6">
      <c r="A338" s="39"/>
      <c r="F338" s="40"/>
    </row>
    <row r="339" spans="1:6">
      <c r="A339" s="39"/>
      <c r="F339" s="40"/>
    </row>
    <row r="340" spans="1:6">
      <c r="A340" s="39"/>
      <c r="F340" s="40"/>
    </row>
    <row r="341" spans="1:6">
      <c r="A341" s="39"/>
      <c r="F341" s="40"/>
    </row>
    <row r="342" spans="1:6">
      <c r="A342" s="39"/>
      <c r="F342" s="40"/>
    </row>
    <row r="343" spans="1:6">
      <c r="A343" s="39"/>
      <c r="F343" s="40"/>
    </row>
    <row r="344" spans="1:6">
      <c r="A344" s="39"/>
      <c r="F344" s="40"/>
    </row>
    <row r="345" spans="1:6">
      <c r="A345" s="39"/>
      <c r="F345" s="40"/>
    </row>
    <row r="346" spans="1:6">
      <c r="A346" s="39"/>
      <c r="F346" s="40"/>
    </row>
    <row r="347" spans="1:6">
      <c r="A347" s="39"/>
      <c r="F347" s="40"/>
    </row>
    <row r="348" spans="1:6">
      <c r="A348" s="39"/>
      <c r="F348" s="40"/>
    </row>
    <row r="349" spans="1:6">
      <c r="A349" s="39"/>
      <c r="F349" s="40"/>
    </row>
    <row r="350" spans="1:6">
      <c r="A350" s="39"/>
      <c r="F350" s="40"/>
    </row>
    <row r="351" spans="1:6">
      <c r="A351" s="39"/>
      <c r="F351" s="40"/>
    </row>
    <row r="352" spans="1:6">
      <c r="A352" s="39"/>
      <c r="F352" s="40"/>
    </row>
    <row r="353" spans="1:6">
      <c r="A353" s="39"/>
      <c r="F353" s="40"/>
    </row>
    <row r="354" spans="1:6">
      <c r="A354" s="39"/>
      <c r="F354" s="40"/>
    </row>
    <row r="355" spans="1:6">
      <c r="A355" s="39"/>
      <c r="F355" s="40"/>
    </row>
    <row r="356" spans="1:6">
      <c r="A356" s="39"/>
      <c r="F356" s="40"/>
    </row>
    <row r="357" spans="1:6">
      <c r="A357" s="39"/>
      <c r="F357" s="40"/>
    </row>
    <row r="358" spans="1:6">
      <c r="A358" s="39"/>
      <c r="F358" s="40"/>
    </row>
    <row r="359" spans="1:6">
      <c r="A359" s="39"/>
      <c r="F359" s="40"/>
    </row>
    <row r="360" spans="1:6">
      <c r="A360" s="39"/>
      <c r="F360" s="40"/>
    </row>
    <row r="361" spans="1:6">
      <c r="A361" s="39"/>
      <c r="F361" s="40"/>
    </row>
    <row r="362" spans="1:6">
      <c r="A362" s="39"/>
      <c r="F362" s="40"/>
    </row>
    <row r="363" spans="1:6">
      <c r="A363" s="39"/>
      <c r="F363" s="40"/>
    </row>
    <row r="364" spans="1:6">
      <c r="A364" s="39"/>
      <c r="F364" s="40"/>
    </row>
    <row r="365" spans="1:6">
      <c r="A365" s="39"/>
      <c r="F365" s="40"/>
    </row>
    <row r="366" spans="1:6">
      <c r="A366" s="39"/>
      <c r="F366" s="40"/>
    </row>
    <row r="367" spans="1:6">
      <c r="A367" s="39"/>
      <c r="F367" s="40"/>
    </row>
    <row r="368" spans="1:6">
      <c r="A368" s="39"/>
      <c r="F368" s="40"/>
    </row>
    <row r="369" spans="1:6">
      <c r="A369" s="39"/>
      <c r="F369" s="40"/>
    </row>
    <row r="370" spans="1:6">
      <c r="A370" s="39"/>
      <c r="F370" s="40"/>
    </row>
    <row r="371" spans="1:6">
      <c r="A371" s="39"/>
      <c r="F371" s="40"/>
    </row>
    <row r="372" spans="1:6">
      <c r="A372" s="39"/>
      <c r="F372" s="40"/>
    </row>
    <row r="373" spans="1:6">
      <c r="A373" s="39"/>
      <c r="F373" s="40"/>
    </row>
    <row r="374" spans="1:6">
      <c r="A374" s="39"/>
      <c r="F374" s="40"/>
    </row>
    <row r="375" spans="1:6">
      <c r="A375" s="39"/>
      <c r="F375" s="40"/>
    </row>
    <row r="376" spans="1:6">
      <c r="A376" s="39"/>
      <c r="F376" s="40"/>
    </row>
    <row r="377" spans="1:6">
      <c r="A377" s="39"/>
      <c r="F377" s="40"/>
    </row>
    <row r="378" spans="1:6">
      <c r="A378" s="39"/>
      <c r="F378" s="40"/>
    </row>
    <row r="379" spans="1:6">
      <c r="A379" s="39"/>
      <c r="F379" s="40"/>
    </row>
    <row r="380" spans="1:6">
      <c r="A380" s="39"/>
      <c r="F380" s="40"/>
    </row>
    <row r="381" spans="1:6">
      <c r="A381" s="39"/>
      <c r="F381" s="40"/>
    </row>
    <row r="382" spans="1:6">
      <c r="A382" s="39"/>
      <c r="F382" s="40"/>
    </row>
    <row r="383" spans="1:6">
      <c r="A383" s="39"/>
      <c r="F383" s="40"/>
    </row>
    <row r="384" spans="1:6">
      <c r="A384" s="39"/>
      <c r="F384" s="40"/>
    </row>
    <row r="385" spans="1:6">
      <c r="A385" s="39"/>
      <c r="F385" s="40"/>
    </row>
    <row r="386" spans="1:6">
      <c r="A386" s="39"/>
      <c r="F386" s="40"/>
    </row>
    <row r="387" spans="1:6">
      <c r="A387" s="39"/>
      <c r="F387" s="40"/>
    </row>
    <row r="388" spans="1:6">
      <c r="A388" s="39"/>
      <c r="F388" s="40"/>
    </row>
    <row r="389" spans="1:6">
      <c r="A389" s="39"/>
      <c r="F389" s="40"/>
    </row>
    <row r="390" spans="1:6">
      <c r="A390" s="39"/>
      <c r="F390" s="40"/>
    </row>
    <row r="391" spans="1:6">
      <c r="A391" s="39"/>
      <c r="F391" s="40"/>
    </row>
    <row r="392" spans="1:6">
      <c r="A392" s="39"/>
      <c r="F392" s="40"/>
    </row>
    <row r="393" spans="1:6">
      <c r="A393" s="39"/>
      <c r="F393" s="40"/>
    </row>
    <row r="394" spans="1:6">
      <c r="A394" s="39"/>
      <c r="F394" s="40"/>
    </row>
    <row r="395" spans="1:6">
      <c r="A395" s="39"/>
      <c r="F395" s="40"/>
    </row>
    <row r="396" spans="1:6">
      <c r="A396" s="39"/>
      <c r="F396" s="40"/>
    </row>
    <row r="397" spans="1:6">
      <c r="A397" s="39"/>
      <c r="F397" s="40"/>
    </row>
    <row r="398" spans="1:6">
      <c r="A398" s="39"/>
      <c r="F398" s="40"/>
    </row>
    <row r="399" spans="1:6">
      <c r="A399" s="39"/>
      <c r="F399" s="40"/>
    </row>
    <row r="400" spans="1:6">
      <c r="A400" s="39"/>
      <c r="F400" s="40"/>
    </row>
    <row r="401" spans="1:6">
      <c r="A401" s="39"/>
      <c r="F401" s="40"/>
    </row>
    <row r="402" spans="1:6">
      <c r="A402" s="39"/>
      <c r="F402" s="40"/>
    </row>
    <row r="403" spans="1:6">
      <c r="A403" s="39"/>
      <c r="F403" s="40"/>
    </row>
    <row r="404" spans="1:6">
      <c r="A404" s="39"/>
      <c r="F404" s="40"/>
    </row>
    <row r="405" spans="1:6">
      <c r="A405" s="39"/>
      <c r="F405" s="40"/>
    </row>
    <row r="406" spans="1:6">
      <c r="A406" s="39"/>
      <c r="F406" s="40"/>
    </row>
    <row r="407" spans="1:6">
      <c r="A407" s="39"/>
      <c r="F407" s="40"/>
    </row>
    <row r="408" spans="1:6">
      <c r="A408" s="39"/>
      <c r="F408" s="40"/>
    </row>
    <row r="409" spans="1:6">
      <c r="A409" s="39"/>
      <c r="F409" s="40"/>
    </row>
    <row r="410" spans="1:6">
      <c r="A410" s="39"/>
      <c r="F410" s="40"/>
    </row>
    <row r="411" spans="1:6">
      <c r="A411" s="39"/>
      <c r="F411" s="40"/>
    </row>
    <row r="412" spans="1:6">
      <c r="A412" s="39"/>
      <c r="F412" s="40"/>
    </row>
    <row r="413" spans="1:6">
      <c r="A413" s="39"/>
      <c r="F413" s="40"/>
    </row>
    <row r="414" spans="1:6">
      <c r="A414" s="39"/>
      <c r="F414" s="40"/>
    </row>
    <row r="415" spans="1:6">
      <c r="A415" s="39"/>
      <c r="F415" s="40"/>
    </row>
    <row r="416" spans="1:6">
      <c r="A416" s="39"/>
      <c r="F416" s="40"/>
    </row>
    <row r="417" spans="1:6">
      <c r="A417" s="39"/>
      <c r="F417" s="40"/>
    </row>
    <row r="418" spans="1:6">
      <c r="A418" s="39"/>
      <c r="F418" s="40"/>
    </row>
    <row r="419" spans="1:6">
      <c r="A419" s="39"/>
      <c r="F419" s="40"/>
    </row>
    <row r="420" spans="1:6">
      <c r="A420" s="39"/>
      <c r="F420" s="40"/>
    </row>
    <row r="421" spans="1:6">
      <c r="A421" s="39"/>
      <c r="F421" s="40"/>
    </row>
    <row r="422" spans="1:6">
      <c r="A422" s="39"/>
      <c r="F422" s="40"/>
    </row>
    <row r="423" spans="1:6">
      <c r="A423" s="39"/>
      <c r="F423" s="40"/>
    </row>
    <row r="424" spans="1:6">
      <c r="A424" s="39"/>
      <c r="F424" s="40"/>
    </row>
    <row r="425" spans="1:6">
      <c r="A425" s="39"/>
      <c r="F425" s="40"/>
    </row>
    <row r="426" spans="1:6">
      <c r="A426" s="39"/>
      <c r="F426" s="40"/>
    </row>
    <row r="427" spans="1:6">
      <c r="A427" s="39"/>
      <c r="F427" s="40"/>
    </row>
    <row r="428" spans="1:6">
      <c r="A428" s="39"/>
      <c r="F428" s="40"/>
    </row>
    <row r="429" spans="1:6">
      <c r="A429" s="39"/>
      <c r="F429" s="40"/>
    </row>
    <row r="430" spans="1:6">
      <c r="A430" s="39"/>
      <c r="F430" s="40"/>
    </row>
    <row r="431" spans="1:6">
      <c r="A431" s="39"/>
      <c r="F431" s="40"/>
    </row>
    <row r="432" spans="1:6">
      <c r="A432" s="39"/>
      <c r="F432" s="40"/>
    </row>
    <row r="433" spans="1:6">
      <c r="A433" s="39"/>
      <c r="F433" s="40"/>
    </row>
    <row r="434" spans="1:6">
      <c r="A434" s="39"/>
      <c r="F434" s="40"/>
    </row>
    <row r="435" spans="1:6">
      <c r="A435" s="39"/>
      <c r="F435" s="40"/>
    </row>
    <row r="436" spans="1:6">
      <c r="A436" s="39"/>
      <c r="F436" s="40"/>
    </row>
    <row r="437" spans="1:6">
      <c r="A437" s="39"/>
      <c r="F437" s="40"/>
    </row>
    <row r="438" spans="1:6">
      <c r="A438" s="39"/>
      <c r="F438" s="40"/>
    </row>
    <row r="439" spans="1:6">
      <c r="A439" s="39"/>
      <c r="F439" s="40"/>
    </row>
    <row r="440" spans="1:6">
      <c r="A440" s="39"/>
      <c r="F440" s="40"/>
    </row>
    <row r="441" spans="1:6">
      <c r="A441" s="39"/>
      <c r="F441" s="40"/>
    </row>
    <row r="442" spans="1:6">
      <c r="A442" s="39"/>
      <c r="F442" s="40"/>
    </row>
    <row r="443" spans="1:6">
      <c r="A443" s="39"/>
      <c r="F443" s="40"/>
    </row>
    <row r="444" spans="1:6">
      <c r="A444" s="39"/>
      <c r="F444" s="40"/>
    </row>
    <row r="445" spans="1:6">
      <c r="A445" s="39"/>
      <c r="F445" s="40"/>
    </row>
    <row r="446" spans="1:6">
      <c r="A446" s="39"/>
      <c r="F446" s="40"/>
    </row>
    <row r="447" spans="1:6">
      <c r="A447" s="39"/>
      <c r="F447" s="40"/>
    </row>
    <row r="448" spans="1:6">
      <c r="A448" s="39"/>
      <c r="F448" s="40"/>
    </row>
    <row r="449" spans="1:6">
      <c r="A449" s="39"/>
      <c r="F449" s="40"/>
    </row>
    <row r="450" spans="1:6">
      <c r="A450" s="39"/>
      <c r="F450" s="40"/>
    </row>
    <row r="451" spans="1:6">
      <c r="A451" s="39"/>
      <c r="F451" s="40"/>
    </row>
    <row r="452" spans="1:6">
      <c r="A452" s="39"/>
      <c r="F452" s="40"/>
    </row>
    <row r="453" spans="1:6">
      <c r="A453" s="39"/>
      <c r="F453" s="40"/>
    </row>
    <row r="454" spans="1:6">
      <c r="A454" s="39"/>
      <c r="F454" s="40"/>
    </row>
    <row r="455" spans="1:6">
      <c r="A455" s="39"/>
      <c r="F455" s="40"/>
    </row>
    <row r="456" spans="1:6">
      <c r="A456" s="39"/>
      <c r="F456" s="40"/>
    </row>
    <row r="457" spans="1:6">
      <c r="A457" s="39"/>
      <c r="F457" s="40"/>
    </row>
    <row r="458" spans="1:6">
      <c r="A458" s="39"/>
      <c r="F458" s="40"/>
    </row>
    <row r="459" spans="1:6">
      <c r="A459" s="39"/>
      <c r="F459" s="40"/>
    </row>
    <row r="460" spans="1:6">
      <c r="A460" s="39"/>
      <c r="F460" s="40"/>
    </row>
    <row r="461" spans="1:6">
      <c r="A461" s="39"/>
      <c r="F461" s="40"/>
    </row>
    <row r="462" spans="1:6">
      <c r="A462" s="39"/>
      <c r="F462" s="40"/>
    </row>
    <row r="463" spans="1:6">
      <c r="A463" s="39"/>
      <c r="F463" s="40"/>
    </row>
    <row r="464" spans="1:6">
      <c r="A464" s="39"/>
      <c r="F464" s="40"/>
    </row>
    <row r="465" spans="1:6">
      <c r="A465" s="39"/>
      <c r="F465" s="40"/>
    </row>
    <row r="466" spans="1:6">
      <c r="A466" s="39"/>
      <c r="F466" s="40"/>
    </row>
    <row r="467" spans="1:6">
      <c r="A467" s="39"/>
      <c r="F467" s="40"/>
    </row>
    <row r="468" spans="1:6">
      <c r="A468" s="39"/>
      <c r="F468" s="40"/>
    </row>
    <row r="469" spans="1:6">
      <c r="A469" s="39"/>
      <c r="F469" s="40"/>
    </row>
    <row r="470" spans="1:6">
      <c r="A470" s="39"/>
      <c r="F470" s="40"/>
    </row>
    <row r="471" spans="1:6">
      <c r="A471" s="39"/>
      <c r="F471" s="40"/>
    </row>
    <row r="472" spans="1:6">
      <c r="A472" s="39"/>
      <c r="F472" s="40"/>
    </row>
    <row r="473" spans="1:6">
      <c r="A473" s="39"/>
      <c r="F473" s="40"/>
    </row>
    <row r="474" spans="1:6">
      <c r="A474" s="39"/>
      <c r="F474" s="40"/>
    </row>
    <row r="475" spans="1:6">
      <c r="A475" s="39"/>
      <c r="F475" s="40"/>
    </row>
    <row r="476" spans="1:6">
      <c r="A476" s="39"/>
      <c r="F476" s="40"/>
    </row>
    <row r="477" spans="1:6">
      <c r="A477" s="39"/>
      <c r="F477" s="40"/>
    </row>
    <row r="478" spans="1:6">
      <c r="A478" s="39"/>
      <c r="F478" s="40"/>
    </row>
    <row r="479" spans="1:6">
      <c r="A479" s="39"/>
      <c r="F479" s="40"/>
    </row>
    <row r="480" spans="1:6">
      <c r="A480" s="39"/>
      <c r="F480" s="40"/>
    </row>
    <row r="481" spans="1:6">
      <c r="A481" s="39"/>
      <c r="F481" s="40"/>
    </row>
    <row r="482" spans="1:6">
      <c r="A482" s="39"/>
      <c r="F482" s="40"/>
    </row>
    <row r="483" spans="1:6">
      <c r="A483" s="39"/>
      <c r="F483" s="40"/>
    </row>
    <row r="484" spans="1:6">
      <c r="A484" s="39"/>
      <c r="F484" s="40"/>
    </row>
    <row r="485" spans="1:6">
      <c r="A485" s="39"/>
      <c r="F485" s="40"/>
    </row>
    <row r="486" spans="1:6">
      <c r="A486" s="39"/>
      <c r="F486" s="40"/>
    </row>
    <row r="487" spans="1:6">
      <c r="A487" s="39"/>
      <c r="F487" s="40"/>
    </row>
    <row r="488" spans="1:6">
      <c r="A488" s="39"/>
      <c r="F488" s="40"/>
    </row>
    <row r="489" spans="1:6">
      <c r="A489" s="39"/>
      <c r="F489" s="40"/>
    </row>
    <row r="490" spans="1:6">
      <c r="A490" s="39"/>
      <c r="F490" s="40"/>
    </row>
    <row r="491" spans="1:6">
      <c r="A491" s="39"/>
      <c r="F491" s="40"/>
    </row>
    <row r="492" spans="1:6">
      <c r="A492" s="39"/>
      <c r="F492" s="40"/>
    </row>
    <row r="493" spans="1:6">
      <c r="A493" s="39"/>
      <c r="F493" s="40"/>
    </row>
    <row r="494" spans="1:6">
      <c r="A494" s="39"/>
      <c r="F494" s="40"/>
    </row>
    <row r="495" spans="1:6">
      <c r="A495" s="39"/>
      <c r="F495" s="40"/>
    </row>
    <row r="496" spans="1:6">
      <c r="A496" s="39"/>
      <c r="F496" s="40"/>
    </row>
    <row r="497" spans="1:6">
      <c r="A497" s="39"/>
      <c r="F497" s="40"/>
    </row>
    <row r="498" spans="1:6">
      <c r="A498" s="39"/>
      <c r="F498" s="40"/>
    </row>
    <row r="499" spans="1:6">
      <c r="A499" s="39"/>
      <c r="F499" s="40"/>
    </row>
    <row r="500" spans="1:6">
      <c r="A500" s="39"/>
      <c r="F500" s="40"/>
    </row>
    <row r="501" spans="1:6">
      <c r="A501" s="39"/>
      <c r="F501" s="40"/>
    </row>
    <row r="502" spans="1:6">
      <c r="A502" s="39"/>
      <c r="F502" s="40"/>
    </row>
    <row r="503" spans="1:6">
      <c r="A503" s="39"/>
      <c r="F503" s="40"/>
    </row>
    <row r="504" spans="1:6">
      <c r="A504" s="39"/>
      <c r="F504" s="40"/>
    </row>
    <row r="505" spans="1:6">
      <c r="A505" s="39"/>
      <c r="F505" s="40"/>
    </row>
    <row r="506" spans="1:6">
      <c r="A506" s="39"/>
      <c r="F506" s="40"/>
    </row>
    <row r="507" spans="1:6">
      <c r="A507" s="39"/>
      <c r="F507" s="40"/>
    </row>
    <row r="508" spans="1:6">
      <c r="A508" s="39"/>
      <c r="F508" s="40"/>
    </row>
    <row r="509" spans="1:6">
      <c r="A509" s="39"/>
      <c r="F509" s="40"/>
    </row>
    <row r="510" spans="1:6">
      <c r="A510" s="39"/>
      <c r="F510" s="40"/>
    </row>
    <row r="511" spans="1:6">
      <c r="A511" s="39"/>
      <c r="F511" s="40"/>
    </row>
    <row r="512" spans="1:6">
      <c r="A512" s="39"/>
      <c r="F512" s="40"/>
    </row>
    <row r="513" spans="1:6">
      <c r="A513" s="39"/>
      <c r="F513" s="40"/>
    </row>
    <row r="514" spans="1:6">
      <c r="A514" s="39"/>
      <c r="F514" s="40"/>
    </row>
    <row r="515" spans="1:6">
      <c r="A515" s="39"/>
      <c r="F515" s="40"/>
    </row>
    <row r="516" spans="1:6">
      <c r="A516" s="39"/>
      <c r="F516" s="40"/>
    </row>
    <row r="517" spans="1:6">
      <c r="A517" s="39"/>
      <c r="F517" s="40"/>
    </row>
    <row r="518" spans="1:6">
      <c r="A518" s="39"/>
      <c r="F518" s="40"/>
    </row>
    <row r="519" spans="1:6">
      <c r="A519" s="39"/>
      <c r="F519" s="40"/>
    </row>
    <row r="520" spans="1:6">
      <c r="A520" s="39"/>
      <c r="F520" s="40"/>
    </row>
    <row r="521" spans="1:6">
      <c r="A521" s="39"/>
      <c r="F521" s="40"/>
    </row>
    <row r="522" spans="1:6">
      <c r="A522" s="39"/>
      <c r="F522" s="40"/>
    </row>
    <row r="523" spans="1:6">
      <c r="A523" s="39"/>
      <c r="F523" s="40"/>
    </row>
    <row r="524" spans="1:6">
      <c r="A524" s="39"/>
      <c r="F524" s="40"/>
    </row>
    <row r="525" spans="1:6">
      <c r="A525" s="39"/>
      <c r="F525" s="40"/>
    </row>
    <row r="526" spans="1:6">
      <c r="A526" s="39"/>
      <c r="F526" s="40"/>
    </row>
    <row r="527" spans="1:6">
      <c r="A527" s="39"/>
      <c r="F527" s="40"/>
    </row>
    <row r="528" spans="1:6">
      <c r="A528" s="39"/>
      <c r="F528" s="40"/>
    </row>
    <row r="529" spans="1:6">
      <c r="A529" s="39"/>
      <c r="F529" s="40"/>
    </row>
    <row r="530" spans="1:6">
      <c r="A530" s="39"/>
      <c r="F530" s="40"/>
    </row>
    <row r="531" spans="1:6">
      <c r="A531" s="39"/>
      <c r="F531" s="40"/>
    </row>
    <row r="532" spans="1:6">
      <c r="A532" s="39"/>
      <c r="F532" s="40"/>
    </row>
    <row r="533" spans="1:6">
      <c r="A533" s="39"/>
      <c r="F533" s="40"/>
    </row>
    <row r="534" spans="1:6">
      <c r="A534" s="39"/>
      <c r="F534" s="40"/>
    </row>
    <row r="535" spans="1:6">
      <c r="A535" s="39"/>
      <c r="F535" s="40"/>
    </row>
    <row r="536" spans="1:6">
      <c r="A536" s="39"/>
      <c r="F536" s="40"/>
    </row>
    <row r="537" spans="1:6">
      <c r="A537" s="39"/>
      <c r="F537" s="40"/>
    </row>
    <row r="538" spans="1:6">
      <c r="A538" s="39"/>
      <c r="F538" s="40"/>
    </row>
    <row r="539" spans="1:6">
      <c r="A539" s="39"/>
      <c r="F539" s="40"/>
    </row>
    <row r="540" spans="1:6">
      <c r="A540" s="39"/>
      <c r="F540" s="40"/>
    </row>
    <row r="541" spans="1:6">
      <c r="A541" s="39"/>
      <c r="F541" s="40"/>
    </row>
    <row r="542" spans="1:6">
      <c r="A542" s="39"/>
      <c r="F542" s="40"/>
    </row>
    <row r="543" spans="1:6">
      <c r="A543" s="39"/>
      <c r="F543" s="40"/>
    </row>
    <row r="544" spans="1:6">
      <c r="A544" s="39"/>
      <c r="F544" s="40"/>
    </row>
    <row r="545" spans="1:6">
      <c r="A545" s="39"/>
      <c r="F545" s="40"/>
    </row>
    <row r="546" spans="1:6">
      <c r="A546" s="39"/>
      <c r="F546" s="40"/>
    </row>
    <row r="547" spans="1:6">
      <c r="A547" s="39"/>
      <c r="F547" s="40"/>
    </row>
    <row r="548" spans="1:6">
      <c r="A548" s="39"/>
      <c r="F548" s="40"/>
    </row>
    <row r="549" spans="1:6">
      <c r="A549" s="39"/>
      <c r="F549" s="40"/>
    </row>
    <row r="550" spans="1:6">
      <c r="A550" s="39"/>
      <c r="F550" s="40"/>
    </row>
    <row r="551" spans="1:6">
      <c r="A551" s="39"/>
      <c r="F551" s="40"/>
    </row>
    <row r="552" spans="1:6">
      <c r="A552" s="39"/>
      <c r="F552" s="40"/>
    </row>
    <row r="553" spans="1:6">
      <c r="A553" s="39"/>
      <c r="F553" s="40"/>
    </row>
    <row r="554" spans="1:6">
      <c r="A554" s="39"/>
      <c r="F554" s="40"/>
    </row>
    <row r="555" spans="1:6">
      <c r="A555" s="39"/>
      <c r="F555" s="40"/>
    </row>
    <row r="556" spans="1:6">
      <c r="A556" s="39"/>
      <c r="F556" s="40"/>
    </row>
    <row r="557" spans="1:6">
      <c r="A557" s="39"/>
      <c r="F557" s="40"/>
    </row>
    <row r="558" spans="1:6">
      <c r="A558" s="39"/>
      <c r="F558" s="40"/>
    </row>
    <row r="559" spans="1:6">
      <c r="A559" s="39"/>
      <c r="F559" s="40"/>
    </row>
    <row r="560" spans="1:6">
      <c r="A560" s="39"/>
      <c r="F560" s="40"/>
    </row>
    <row r="561" spans="1:6">
      <c r="A561" s="39"/>
      <c r="F561" s="40"/>
    </row>
    <row r="562" spans="1:6">
      <c r="A562" s="39"/>
      <c r="F562" s="40"/>
    </row>
    <row r="563" spans="1:6">
      <c r="A563" s="39"/>
      <c r="F563" s="40"/>
    </row>
    <row r="564" spans="1:6">
      <c r="A564" s="39"/>
      <c r="F564" s="40"/>
    </row>
    <row r="565" spans="1:6">
      <c r="A565" s="39"/>
      <c r="F565" s="40"/>
    </row>
    <row r="566" spans="1:6">
      <c r="A566" s="39"/>
      <c r="F566" s="40"/>
    </row>
    <row r="567" spans="1:6">
      <c r="A567" s="39"/>
      <c r="F567" s="40"/>
    </row>
    <row r="568" spans="1:6">
      <c r="A568" s="39"/>
      <c r="F568" s="40"/>
    </row>
    <row r="569" spans="1:6">
      <c r="A569" s="39"/>
      <c r="F569" s="40"/>
    </row>
    <row r="570" spans="1:6">
      <c r="A570" s="39"/>
      <c r="F570" s="40"/>
    </row>
    <row r="571" spans="1:6">
      <c r="A571" s="39"/>
      <c r="F571" s="40"/>
    </row>
    <row r="572" spans="1:6">
      <c r="A572" s="39"/>
      <c r="F572" s="40"/>
    </row>
    <row r="573" spans="1:6">
      <c r="A573" s="39"/>
      <c r="F573" s="40"/>
    </row>
    <row r="574" spans="1:6">
      <c r="A574" s="39"/>
      <c r="F574" s="40"/>
    </row>
    <row r="575" spans="1:6">
      <c r="A575" s="39"/>
      <c r="F575" s="40"/>
    </row>
    <row r="576" spans="1:6">
      <c r="A576" s="39"/>
      <c r="F576" s="40"/>
    </row>
    <row r="577" spans="1:6">
      <c r="A577" s="39"/>
      <c r="F577" s="40"/>
    </row>
    <row r="578" spans="1:6">
      <c r="A578" s="39"/>
      <c r="F578" s="40"/>
    </row>
    <row r="579" spans="1:6">
      <c r="A579" s="39"/>
      <c r="F579" s="40"/>
    </row>
    <row r="580" spans="1:6">
      <c r="A580" s="39"/>
      <c r="F580" s="40"/>
    </row>
    <row r="581" spans="1:6">
      <c r="A581" s="39"/>
      <c r="F581" s="40"/>
    </row>
    <row r="582" spans="1:6">
      <c r="A582" s="39"/>
      <c r="F582" s="40"/>
    </row>
    <row r="583" spans="1:6">
      <c r="A583" s="39"/>
      <c r="F583" s="40"/>
    </row>
    <row r="584" spans="1:6">
      <c r="A584" s="39"/>
      <c r="F584" s="40"/>
    </row>
    <row r="585" spans="1:6">
      <c r="A585" s="39"/>
      <c r="F585" s="40"/>
    </row>
    <row r="586" spans="1:6">
      <c r="A586" s="39"/>
      <c r="F586" s="40"/>
    </row>
    <row r="587" spans="1:6">
      <c r="A587" s="39"/>
      <c r="F587" s="40"/>
    </row>
    <row r="588" spans="1:6">
      <c r="A588" s="39"/>
      <c r="F588" s="40"/>
    </row>
    <row r="589" spans="1:6">
      <c r="A589" s="39"/>
      <c r="F589" s="40"/>
    </row>
    <row r="590" spans="1:6">
      <c r="A590" s="39"/>
      <c r="F590" s="40"/>
    </row>
    <row r="591" spans="1:6">
      <c r="A591" s="39"/>
      <c r="F591" s="40"/>
    </row>
    <row r="592" spans="1:6">
      <c r="A592" s="39"/>
      <c r="F592" s="40"/>
    </row>
    <row r="593" spans="1:6">
      <c r="A593" s="39"/>
      <c r="F593" s="40"/>
    </row>
    <row r="594" spans="1:6">
      <c r="A594" s="39"/>
      <c r="F594" s="40"/>
    </row>
    <row r="595" spans="1:6">
      <c r="A595" s="39"/>
      <c r="F595" s="40"/>
    </row>
    <row r="596" spans="1:6">
      <c r="A596" s="39"/>
      <c r="F596" s="40"/>
    </row>
    <row r="597" spans="1:6">
      <c r="A597" s="39"/>
      <c r="F597" s="40"/>
    </row>
    <row r="598" spans="1:6">
      <c r="A598" s="39"/>
      <c r="F598" s="40"/>
    </row>
    <row r="599" spans="1:6">
      <c r="A599" s="39"/>
      <c r="F599" s="40"/>
    </row>
    <row r="600" spans="1:6">
      <c r="A600" s="39"/>
      <c r="F600" s="40"/>
    </row>
    <row r="601" spans="1:6">
      <c r="A601" s="39"/>
      <c r="F601" s="40"/>
    </row>
    <row r="602" spans="1:6">
      <c r="A602" s="39"/>
      <c r="F602" s="40"/>
    </row>
    <row r="603" spans="1:6">
      <c r="A603" s="39"/>
      <c r="F603" s="40"/>
    </row>
    <row r="604" spans="1:6">
      <c r="A604" s="39"/>
      <c r="F604" s="40"/>
    </row>
    <row r="605" spans="1:6">
      <c r="A605" s="39"/>
      <c r="F605" s="40"/>
    </row>
    <row r="606" spans="1:6">
      <c r="A606" s="39"/>
      <c r="F606" s="40"/>
    </row>
    <row r="607" spans="1:6">
      <c r="A607" s="39"/>
      <c r="F607" s="40"/>
    </row>
    <row r="608" spans="1:6">
      <c r="A608" s="39"/>
      <c r="F608" s="40"/>
    </row>
    <row r="609" spans="1:6">
      <c r="A609" s="39"/>
      <c r="F609" s="40"/>
    </row>
    <row r="610" spans="1:6">
      <c r="A610" s="39"/>
      <c r="F610" s="40"/>
    </row>
    <row r="611" spans="1:6">
      <c r="A611" s="39"/>
      <c r="F611" s="40"/>
    </row>
    <row r="612" spans="1:6">
      <c r="A612" s="39"/>
      <c r="F612" s="40"/>
    </row>
    <row r="613" spans="1:6">
      <c r="A613" s="39"/>
      <c r="F613" s="40"/>
    </row>
    <row r="614" spans="1:6">
      <c r="A614" s="39"/>
      <c r="F614" s="40"/>
    </row>
    <row r="615" spans="1:6">
      <c r="A615" s="39"/>
      <c r="F615" s="40"/>
    </row>
    <row r="616" spans="1:6">
      <c r="A616" s="39"/>
      <c r="F616" s="40"/>
    </row>
    <row r="617" spans="1:6">
      <c r="A617" s="39"/>
      <c r="F617" s="40"/>
    </row>
    <row r="618" spans="1:6">
      <c r="A618" s="39"/>
      <c r="F618" s="40"/>
    </row>
    <row r="619" spans="1:6">
      <c r="A619" s="39"/>
      <c r="F619" s="40"/>
    </row>
    <row r="620" spans="1:6">
      <c r="A620" s="39"/>
      <c r="F620" s="40"/>
    </row>
    <row r="621" spans="1:6">
      <c r="A621" s="39"/>
      <c r="F621" s="40"/>
    </row>
    <row r="622" spans="1:6">
      <c r="A622" s="39"/>
      <c r="F622" s="40"/>
    </row>
    <row r="623" spans="1:6">
      <c r="A623" s="39"/>
      <c r="F623" s="40"/>
    </row>
    <row r="624" spans="1:6">
      <c r="A624" s="39"/>
      <c r="F624" s="40"/>
    </row>
    <row r="625" spans="1:6">
      <c r="A625" s="39"/>
      <c r="F625" s="40"/>
    </row>
    <row r="626" spans="1:6">
      <c r="A626" s="39"/>
      <c r="F626" s="40"/>
    </row>
    <row r="627" spans="1:6">
      <c r="A627" s="39"/>
      <c r="F627" s="40"/>
    </row>
    <row r="628" spans="1:6">
      <c r="A628" s="39"/>
      <c r="F628" s="40"/>
    </row>
    <row r="629" spans="1:6">
      <c r="A629" s="39"/>
      <c r="F629" s="40"/>
    </row>
    <row r="630" spans="1:6">
      <c r="A630" s="39"/>
      <c r="F630" s="40"/>
    </row>
    <row r="631" spans="1:6">
      <c r="A631" s="39"/>
      <c r="F631" s="40"/>
    </row>
    <row r="632" spans="1:6">
      <c r="A632" s="39"/>
      <c r="F632" s="40"/>
    </row>
    <row r="633" spans="1:6">
      <c r="A633" s="39"/>
      <c r="F633" s="40"/>
    </row>
    <row r="634" spans="1:6">
      <c r="A634" s="39"/>
      <c r="F634" s="40"/>
    </row>
    <row r="635" spans="1:6">
      <c r="A635" s="39"/>
      <c r="F635" s="40"/>
    </row>
    <row r="636" spans="1:6">
      <c r="A636" s="39"/>
      <c r="F636" s="40"/>
    </row>
    <row r="637" spans="1:6">
      <c r="A637" s="39"/>
      <c r="F637" s="40"/>
    </row>
    <row r="638" spans="1:6">
      <c r="A638" s="39"/>
      <c r="F638" s="40"/>
    </row>
    <row r="639" spans="1:6">
      <c r="A639" s="39"/>
      <c r="F639" s="40"/>
    </row>
    <row r="640" spans="1:6">
      <c r="A640" s="39"/>
      <c r="F640" s="40"/>
    </row>
    <row r="641" spans="1:6">
      <c r="A641" s="39"/>
      <c r="F641" s="40"/>
    </row>
    <row r="642" spans="1:6">
      <c r="A642" s="39"/>
      <c r="F642" s="40"/>
    </row>
    <row r="643" spans="1:6">
      <c r="A643" s="39"/>
      <c r="F643" s="40"/>
    </row>
    <row r="644" spans="1:6">
      <c r="A644" s="39"/>
      <c r="F644" s="40"/>
    </row>
    <row r="645" spans="1:6">
      <c r="A645" s="39"/>
      <c r="F645" s="40"/>
    </row>
    <row r="646" spans="1:6">
      <c r="A646" s="39"/>
      <c r="F646" s="40"/>
    </row>
    <row r="647" spans="1:6">
      <c r="A647" s="39"/>
      <c r="F647" s="40"/>
    </row>
    <row r="648" spans="1:6">
      <c r="A648" s="39"/>
      <c r="F648" s="40"/>
    </row>
    <row r="649" spans="1:6">
      <c r="A649" s="39"/>
      <c r="F649" s="40"/>
    </row>
    <row r="650" spans="1:6">
      <c r="A650" s="39"/>
      <c r="F650" s="40"/>
    </row>
    <row r="651" spans="1:6">
      <c r="A651" s="39"/>
      <c r="F651" s="40"/>
    </row>
    <row r="652" spans="1:6">
      <c r="A652" s="39"/>
      <c r="F652" s="40"/>
    </row>
    <row r="653" spans="1:6">
      <c r="A653" s="39"/>
      <c r="F653" s="40"/>
    </row>
    <row r="654" spans="1:6">
      <c r="A654" s="39"/>
      <c r="F654" s="40"/>
    </row>
    <row r="655" spans="1:6">
      <c r="A655" s="39"/>
      <c r="F655" s="40"/>
    </row>
    <row r="656" spans="1:6">
      <c r="A656" s="39"/>
      <c r="F656" s="40"/>
    </row>
    <row r="657" spans="1:6">
      <c r="A657" s="39"/>
      <c r="F657" s="40"/>
    </row>
    <row r="658" spans="1:6">
      <c r="A658" s="39"/>
      <c r="F658" s="40"/>
    </row>
    <row r="659" spans="1:6">
      <c r="A659" s="39"/>
      <c r="F659" s="40"/>
    </row>
    <row r="660" spans="1:6">
      <c r="A660" s="39"/>
      <c r="F660" s="40"/>
    </row>
    <row r="661" spans="1:6">
      <c r="A661" s="39"/>
      <c r="F661" s="40"/>
    </row>
    <row r="662" spans="1:6">
      <c r="A662" s="39"/>
      <c r="F662" s="40"/>
    </row>
    <row r="663" spans="1:6">
      <c r="A663" s="39"/>
      <c r="F663" s="40"/>
    </row>
    <row r="664" spans="1:6">
      <c r="A664" s="39"/>
      <c r="F664" s="40"/>
    </row>
    <row r="665" spans="1:6">
      <c r="A665" s="39"/>
      <c r="F665" s="40"/>
    </row>
    <row r="666" spans="1:6">
      <c r="A666" s="39"/>
      <c r="F666" s="40"/>
    </row>
    <row r="667" spans="1:6">
      <c r="A667" s="39"/>
      <c r="F667" s="40"/>
    </row>
    <row r="668" spans="1:6">
      <c r="A668" s="39"/>
      <c r="F668" s="40"/>
    </row>
    <row r="669" spans="1:6">
      <c r="A669" s="39"/>
      <c r="F669" s="40"/>
    </row>
    <row r="670" spans="1:6">
      <c r="A670" s="39"/>
      <c r="F670" s="40"/>
    </row>
    <row r="671" spans="1:6">
      <c r="A671" s="39"/>
      <c r="F671" s="40"/>
    </row>
    <row r="672" spans="1:6">
      <c r="A672" s="39"/>
      <c r="F672" s="40"/>
    </row>
    <row r="673" spans="1:6">
      <c r="A673" s="39"/>
      <c r="F673" s="40"/>
    </row>
    <row r="674" spans="1:6">
      <c r="A674" s="39"/>
      <c r="F674" s="40"/>
    </row>
    <row r="675" spans="1:6">
      <c r="A675" s="39"/>
      <c r="F675" s="40"/>
    </row>
    <row r="676" spans="1:6">
      <c r="A676" s="39"/>
      <c r="F676" s="40"/>
    </row>
    <row r="677" spans="1:6">
      <c r="A677" s="39"/>
      <c r="F677" s="40"/>
    </row>
    <row r="678" spans="1:6">
      <c r="A678" s="39"/>
      <c r="F678" s="40"/>
    </row>
    <row r="679" spans="1:6">
      <c r="A679" s="39"/>
      <c r="F679" s="40"/>
    </row>
    <row r="680" spans="1:6">
      <c r="A680" s="39"/>
      <c r="F680" s="40"/>
    </row>
    <row r="681" spans="1:6">
      <c r="A681" s="39"/>
      <c r="F681" s="40"/>
    </row>
    <row r="682" spans="1:6">
      <c r="A682" s="39"/>
      <c r="F682" s="40"/>
    </row>
    <row r="683" spans="1:6">
      <c r="A683" s="39"/>
      <c r="F683" s="40"/>
    </row>
    <row r="684" spans="1:6">
      <c r="A684" s="39"/>
      <c r="F684" s="40"/>
    </row>
    <row r="685" spans="1:6">
      <c r="A685" s="39"/>
      <c r="F685" s="40"/>
    </row>
    <row r="686" spans="1:6">
      <c r="A686" s="39"/>
      <c r="F686" s="40"/>
    </row>
    <row r="687" spans="1:6">
      <c r="A687" s="39"/>
      <c r="F687" s="40"/>
    </row>
    <row r="688" spans="1:6">
      <c r="A688" s="39"/>
      <c r="F688" s="40"/>
    </row>
    <row r="689" spans="1:6">
      <c r="A689" s="39"/>
      <c r="F689" s="40"/>
    </row>
    <row r="690" spans="1:6">
      <c r="A690" s="39"/>
      <c r="F690" s="40"/>
    </row>
    <row r="691" spans="1:6">
      <c r="A691" s="39"/>
      <c r="F691" s="40"/>
    </row>
    <row r="692" spans="1:6">
      <c r="A692" s="39"/>
      <c r="F692" s="40"/>
    </row>
    <row r="693" spans="1:6">
      <c r="A693" s="39"/>
      <c r="F693" s="40"/>
    </row>
    <row r="694" spans="1:6">
      <c r="A694" s="39"/>
      <c r="F694" s="40"/>
    </row>
    <row r="695" spans="1:6">
      <c r="A695" s="39"/>
      <c r="F695" s="40"/>
    </row>
    <row r="696" spans="1:6">
      <c r="A696" s="39"/>
      <c r="F696" s="40"/>
    </row>
    <row r="697" spans="1:6">
      <c r="A697" s="39"/>
      <c r="F697" s="40"/>
    </row>
    <row r="698" spans="1:6">
      <c r="A698" s="39"/>
      <c r="F698" s="40"/>
    </row>
    <row r="699" spans="1:6">
      <c r="A699" s="39"/>
      <c r="F699" s="40"/>
    </row>
    <row r="700" spans="1:6">
      <c r="A700" s="39"/>
      <c r="F700" s="40"/>
    </row>
    <row r="701" spans="1:6">
      <c r="A701" s="39"/>
      <c r="F701" s="40"/>
    </row>
    <row r="702" spans="1:6">
      <c r="A702" s="39"/>
      <c r="F702" s="40"/>
    </row>
    <row r="703" spans="1:6">
      <c r="A703" s="39"/>
      <c r="F703" s="40"/>
    </row>
    <row r="704" spans="1:6">
      <c r="A704" s="39"/>
      <c r="F704" s="40"/>
    </row>
    <row r="705" spans="1:6">
      <c r="A705" s="39"/>
      <c r="F705" s="40"/>
    </row>
    <row r="706" spans="1:6">
      <c r="A706" s="39"/>
      <c r="F706" s="40"/>
    </row>
    <row r="707" spans="1:6">
      <c r="A707" s="39"/>
      <c r="F707" s="40"/>
    </row>
    <row r="708" spans="1:6">
      <c r="A708" s="39"/>
      <c r="F708" s="40"/>
    </row>
    <row r="709" spans="1:6">
      <c r="A709" s="39"/>
      <c r="F709" s="40"/>
    </row>
    <row r="710" spans="1:6">
      <c r="A710" s="39"/>
      <c r="F710" s="40"/>
    </row>
    <row r="711" spans="1:6">
      <c r="A711" s="39"/>
      <c r="F711" s="40"/>
    </row>
    <row r="712" spans="1:6">
      <c r="A712" s="39"/>
      <c r="F712" s="40"/>
    </row>
    <row r="713" spans="1:6">
      <c r="A713" s="39"/>
      <c r="F713" s="40"/>
    </row>
    <row r="714" spans="1:6">
      <c r="A714" s="39"/>
      <c r="F714" s="40"/>
    </row>
    <row r="715" spans="1:6">
      <c r="A715" s="39"/>
      <c r="F715" s="40"/>
    </row>
    <row r="716" spans="1:6">
      <c r="A716" s="39"/>
      <c r="F716" s="40"/>
    </row>
    <row r="717" spans="1:6">
      <c r="A717" s="39"/>
      <c r="F717" s="40"/>
    </row>
    <row r="718" spans="1:6">
      <c r="A718" s="39"/>
      <c r="F718" s="40"/>
    </row>
    <row r="719" spans="1:6">
      <c r="A719" s="39"/>
      <c r="F719" s="40"/>
    </row>
    <row r="720" spans="1:6">
      <c r="A720" s="39"/>
      <c r="F720" s="40"/>
    </row>
    <row r="721" spans="1:6">
      <c r="A721" s="39"/>
      <c r="F721" s="40"/>
    </row>
    <row r="722" spans="1:6">
      <c r="A722" s="39"/>
      <c r="F722" s="40"/>
    </row>
    <row r="723" spans="1:6">
      <c r="A723" s="39"/>
      <c r="F723" s="40"/>
    </row>
    <row r="724" spans="1:6">
      <c r="A724" s="39"/>
      <c r="F724" s="40"/>
    </row>
    <row r="725" spans="1:6">
      <c r="A725" s="39"/>
      <c r="F725" s="40"/>
    </row>
    <row r="726" spans="1:6">
      <c r="A726" s="39"/>
      <c r="F726" s="40"/>
    </row>
    <row r="727" spans="1:6">
      <c r="A727" s="39"/>
      <c r="F727" s="40"/>
    </row>
    <row r="728" spans="1:6">
      <c r="A728" s="39"/>
      <c r="F728" s="40"/>
    </row>
    <row r="729" spans="1:6">
      <c r="A729" s="39"/>
      <c r="F729" s="40"/>
    </row>
    <row r="730" spans="1:6">
      <c r="A730" s="39"/>
      <c r="F730" s="40"/>
    </row>
    <row r="731" spans="1:6">
      <c r="A731" s="39"/>
      <c r="F731" s="40"/>
    </row>
    <row r="732" spans="1:6">
      <c r="A732" s="39"/>
      <c r="F732" s="40"/>
    </row>
    <row r="733" spans="1:6">
      <c r="A733" s="39"/>
      <c r="F733" s="40"/>
    </row>
    <row r="734" spans="1:6">
      <c r="A734" s="39"/>
      <c r="F734" s="40"/>
    </row>
    <row r="735" spans="1:6">
      <c r="A735" s="39"/>
      <c r="F735" s="40"/>
    </row>
    <row r="736" spans="1:6">
      <c r="A736" s="39"/>
      <c r="F736" s="40"/>
    </row>
    <row r="737" spans="1:6">
      <c r="A737" s="39"/>
      <c r="F737" s="40"/>
    </row>
    <row r="738" spans="1:6">
      <c r="A738" s="39"/>
      <c r="F738" s="40"/>
    </row>
    <row r="739" spans="1:6">
      <c r="A739" s="39"/>
      <c r="F739" s="40"/>
    </row>
    <row r="740" spans="1:6">
      <c r="A740" s="39"/>
      <c r="F740" s="40"/>
    </row>
    <row r="741" spans="1:6">
      <c r="A741" s="39"/>
      <c r="F741" s="40"/>
    </row>
    <row r="742" spans="1:6">
      <c r="A742" s="39"/>
      <c r="F742" s="40"/>
    </row>
    <row r="743" spans="1:6">
      <c r="A743" s="39"/>
      <c r="F743" s="40"/>
    </row>
    <row r="744" spans="1:6">
      <c r="A744" s="39"/>
      <c r="F744" s="40"/>
    </row>
    <row r="745" spans="1:6">
      <c r="A745" s="39"/>
      <c r="F745" s="40"/>
    </row>
    <row r="746" spans="1:6">
      <c r="A746" s="39"/>
      <c r="F746" s="40"/>
    </row>
    <row r="747" spans="1:6">
      <c r="A747" s="39"/>
      <c r="F747" s="40"/>
    </row>
    <row r="748" spans="1:6">
      <c r="A748" s="39"/>
      <c r="F748" s="40"/>
    </row>
    <row r="749" spans="1:6">
      <c r="A749" s="39"/>
      <c r="F749" s="40"/>
    </row>
    <row r="750" spans="1:6">
      <c r="A750" s="39"/>
      <c r="F750" s="40"/>
    </row>
    <row r="751" spans="1:6">
      <c r="A751" s="39"/>
      <c r="F751" s="40"/>
    </row>
    <row r="752" spans="1:6">
      <c r="A752" s="39"/>
      <c r="F752" s="40"/>
    </row>
    <row r="753" spans="1:6">
      <c r="A753" s="39"/>
      <c r="F753" s="40"/>
    </row>
    <row r="754" spans="1:6">
      <c r="A754" s="39"/>
      <c r="F754" s="40"/>
    </row>
    <row r="755" spans="1:6">
      <c r="A755" s="39"/>
      <c r="F755" s="40"/>
    </row>
    <row r="756" spans="1:6">
      <c r="A756" s="39"/>
      <c r="F756" s="40"/>
    </row>
    <row r="757" spans="1:6">
      <c r="A757" s="39"/>
      <c r="F757" s="40"/>
    </row>
    <row r="758" spans="1:6">
      <c r="A758" s="39"/>
      <c r="F758" s="40"/>
    </row>
    <row r="759" spans="1:6">
      <c r="A759" s="39"/>
      <c r="F759" s="40"/>
    </row>
    <row r="760" spans="1:6">
      <c r="A760" s="39"/>
      <c r="F760" s="40"/>
    </row>
    <row r="761" spans="1:6">
      <c r="A761" s="39"/>
      <c r="F761" s="40"/>
    </row>
    <row r="762" spans="1:6">
      <c r="A762" s="39"/>
      <c r="F762" s="40"/>
    </row>
    <row r="763" spans="1:6">
      <c r="A763" s="39"/>
      <c r="F763" s="40"/>
    </row>
    <row r="764" spans="1:6">
      <c r="A764" s="39"/>
      <c r="F764" s="40"/>
    </row>
    <row r="765" spans="1:6">
      <c r="A765" s="39"/>
      <c r="F765" s="40"/>
    </row>
    <row r="766" spans="1:6">
      <c r="A766" s="39"/>
      <c r="F766" s="40"/>
    </row>
    <row r="767" spans="1:6">
      <c r="A767" s="39"/>
      <c r="F767" s="40"/>
    </row>
    <row r="768" spans="1:6">
      <c r="A768" s="39"/>
      <c r="F768" s="40"/>
    </row>
    <row r="769" spans="1:6">
      <c r="A769" s="39"/>
      <c r="F769" s="40"/>
    </row>
    <row r="770" spans="1:6">
      <c r="A770" s="39"/>
      <c r="F770" s="40"/>
    </row>
    <row r="771" spans="1:6">
      <c r="A771" s="39"/>
      <c r="F771" s="40"/>
    </row>
    <row r="772" spans="1:6">
      <c r="A772" s="39"/>
      <c r="F772" s="40"/>
    </row>
    <row r="773" spans="1:6">
      <c r="A773" s="39"/>
      <c r="F773" s="40"/>
    </row>
    <row r="774" spans="1:6">
      <c r="A774" s="39"/>
      <c r="F774" s="40"/>
    </row>
    <row r="775" spans="1:6">
      <c r="A775" s="39"/>
      <c r="F775" s="40"/>
    </row>
    <row r="776" spans="1:6">
      <c r="A776" s="39"/>
      <c r="F776" s="40"/>
    </row>
    <row r="777" spans="1:6">
      <c r="A777" s="39"/>
      <c r="F777" s="40"/>
    </row>
    <row r="778" spans="1:6">
      <c r="A778" s="39"/>
      <c r="F778" s="40"/>
    </row>
    <row r="779" spans="1:6">
      <c r="A779" s="39"/>
      <c r="F779" s="40"/>
    </row>
    <row r="780" spans="1:6">
      <c r="A780" s="39"/>
      <c r="F780" s="40"/>
    </row>
    <row r="781" spans="1:6">
      <c r="A781" s="39"/>
      <c r="F781" s="40"/>
    </row>
    <row r="782" spans="1:6">
      <c r="A782" s="39"/>
      <c r="F782" s="40"/>
    </row>
    <row r="783" spans="1:6">
      <c r="A783" s="39"/>
      <c r="F783" s="40"/>
    </row>
    <row r="784" spans="1:6">
      <c r="A784" s="39"/>
      <c r="F784" s="40"/>
    </row>
    <row r="785" spans="1:6">
      <c r="A785" s="39"/>
      <c r="F785" s="40"/>
    </row>
    <row r="786" spans="1:6">
      <c r="A786" s="39"/>
      <c r="F786" s="40"/>
    </row>
    <row r="787" spans="1:6">
      <c r="A787" s="39"/>
      <c r="F787" s="40"/>
    </row>
    <row r="788" spans="1:6">
      <c r="A788" s="39"/>
      <c r="F788" s="40"/>
    </row>
    <row r="789" spans="1:6">
      <c r="A789" s="39"/>
      <c r="F789" s="40"/>
    </row>
    <row r="790" spans="1:6">
      <c r="A790" s="39"/>
      <c r="F790" s="40"/>
    </row>
    <row r="791" spans="1:6">
      <c r="A791" s="39"/>
      <c r="F791" s="40"/>
    </row>
    <row r="792" spans="1:6">
      <c r="A792" s="39"/>
      <c r="F792" s="40"/>
    </row>
    <row r="793" spans="1:6">
      <c r="A793" s="39"/>
      <c r="F793" s="40"/>
    </row>
    <row r="794" spans="1:6">
      <c r="A794" s="39"/>
      <c r="F794" s="40"/>
    </row>
    <row r="795" spans="1:6">
      <c r="A795" s="39"/>
      <c r="F795" s="40"/>
    </row>
    <row r="796" spans="1:6">
      <c r="A796" s="39"/>
      <c r="F796" s="40"/>
    </row>
    <row r="797" spans="1:6">
      <c r="A797" s="39"/>
      <c r="F797" s="40"/>
    </row>
    <row r="798" spans="1:6">
      <c r="A798" s="39"/>
      <c r="F798" s="40"/>
    </row>
    <row r="799" spans="1:6">
      <c r="A799" s="39"/>
      <c r="F799" s="40"/>
    </row>
    <row r="800" spans="1:6">
      <c r="A800" s="39"/>
      <c r="F800" s="40"/>
    </row>
    <row r="801" spans="1:6">
      <c r="A801" s="39"/>
      <c r="F801" s="40"/>
    </row>
    <row r="802" spans="1:6">
      <c r="A802" s="39"/>
      <c r="F802" s="40"/>
    </row>
    <row r="803" spans="1:6">
      <c r="A803" s="39"/>
      <c r="F803" s="40"/>
    </row>
    <row r="804" spans="1:6">
      <c r="A804" s="39"/>
      <c r="F804" s="40"/>
    </row>
    <row r="805" spans="1:6">
      <c r="A805" s="39"/>
      <c r="F805" s="40"/>
    </row>
    <row r="806" spans="1:6">
      <c r="A806" s="39"/>
      <c r="F806" s="40"/>
    </row>
    <row r="807" spans="1:6">
      <c r="A807" s="39"/>
      <c r="F807" s="40"/>
    </row>
    <row r="808" spans="1:6">
      <c r="A808" s="39"/>
      <c r="F808" s="40"/>
    </row>
    <row r="809" spans="1:6">
      <c r="A809" s="39"/>
      <c r="F809" s="40"/>
    </row>
    <row r="810" spans="1:6">
      <c r="A810" s="39"/>
      <c r="F810" s="40"/>
    </row>
    <row r="811" spans="1:6">
      <c r="A811" s="39"/>
      <c r="F811" s="40"/>
    </row>
    <row r="812" spans="1:6">
      <c r="A812" s="39"/>
      <c r="F812" s="40"/>
    </row>
    <row r="813" spans="1:6">
      <c r="A813" s="39"/>
      <c r="F813" s="40"/>
    </row>
    <row r="814" spans="1:6">
      <c r="A814" s="39"/>
      <c r="F814" s="40"/>
    </row>
    <row r="815" spans="1:6">
      <c r="A815" s="39"/>
      <c r="F815" s="40"/>
    </row>
    <row r="816" spans="1:6">
      <c r="A816" s="39"/>
      <c r="F816" s="40"/>
    </row>
    <row r="817" spans="1:6">
      <c r="A817" s="39"/>
      <c r="F817" s="40"/>
    </row>
    <row r="818" spans="1:6">
      <c r="A818" s="39"/>
      <c r="F818" s="40"/>
    </row>
    <row r="819" spans="1:6">
      <c r="A819" s="39"/>
      <c r="F819" s="40"/>
    </row>
    <row r="820" spans="1:6">
      <c r="A820" s="39"/>
      <c r="F820" s="40"/>
    </row>
    <row r="821" spans="1:6">
      <c r="A821" s="39"/>
      <c r="F821" s="40"/>
    </row>
    <row r="822" spans="1:6">
      <c r="A822" s="39"/>
      <c r="F822" s="40"/>
    </row>
    <row r="823" spans="1:6">
      <c r="A823" s="39"/>
      <c r="F823" s="40"/>
    </row>
    <row r="824" spans="1:6">
      <c r="A824" s="39"/>
      <c r="F824" s="40"/>
    </row>
    <row r="825" spans="1:6">
      <c r="A825" s="39"/>
      <c r="F825" s="40"/>
    </row>
    <row r="826" spans="1:6">
      <c r="A826" s="39"/>
      <c r="F826" s="40"/>
    </row>
    <row r="827" spans="1:6">
      <c r="A827" s="39"/>
      <c r="F827" s="40"/>
    </row>
    <row r="828" spans="1:6">
      <c r="A828" s="39"/>
      <c r="F828" s="40"/>
    </row>
    <row r="829" spans="1:6">
      <c r="A829" s="39"/>
      <c r="F829" s="40"/>
    </row>
    <row r="830" spans="1:6">
      <c r="A830" s="39"/>
      <c r="F830" s="40"/>
    </row>
    <row r="831" spans="1:6">
      <c r="A831" s="39"/>
      <c r="F831" s="40"/>
    </row>
    <row r="832" spans="1:6">
      <c r="A832" s="39"/>
      <c r="F832" s="40"/>
    </row>
    <row r="833" spans="1:6">
      <c r="A833" s="39"/>
      <c r="F833" s="40"/>
    </row>
    <row r="834" spans="1:6">
      <c r="A834" s="39"/>
      <c r="F834" s="40"/>
    </row>
    <row r="835" spans="1:6">
      <c r="A835" s="39"/>
      <c r="F835" s="40"/>
    </row>
    <row r="836" spans="1:6">
      <c r="A836" s="39"/>
      <c r="F836" s="40"/>
    </row>
    <row r="837" spans="1:6">
      <c r="A837" s="39"/>
      <c r="F837" s="40"/>
    </row>
    <row r="838" spans="1:6">
      <c r="A838" s="39"/>
      <c r="F838" s="40"/>
    </row>
    <row r="839" spans="1:6">
      <c r="A839" s="39"/>
      <c r="F839" s="40"/>
    </row>
    <row r="840" spans="1:6">
      <c r="A840" s="39"/>
      <c r="F840" s="40"/>
    </row>
    <row r="841" spans="1:6">
      <c r="A841" s="39"/>
      <c r="F841" s="40"/>
    </row>
    <row r="842" spans="1:6">
      <c r="A842" s="39"/>
      <c r="F842" s="40"/>
    </row>
    <row r="843" spans="1:6">
      <c r="A843" s="39"/>
      <c r="F843" s="40"/>
    </row>
    <row r="844" spans="1:6">
      <c r="A844" s="39"/>
      <c r="F844" s="40"/>
    </row>
    <row r="845" spans="1:6">
      <c r="A845" s="39"/>
      <c r="F845" s="40"/>
    </row>
    <row r="846" spans="1:6">
      <c r="A846" s="39"/>
      <c r="F846" s="40"/>
    </row>
    <row r="847" spans="1:6">
      <c r="A847" s="39"/>
      <c r="F847" s="40"/>
    </row>
    <row r="848" spans="1:6">
      <c r="A848" s="39"/>
      <c r="F848" s="40"/>
    </row>
    <row r="849" spans="1:6">
      <c r="A849" s="39"/>
      <c r="F849" s="40"/>
    </row>
    <row r="850" spans="1:6">
      <c r="A850" s="39"/>
      <c r="F850" s="40"/>
    </row>
    <row r="851" spans="1:6">
      <c r="A851" s="39"/>
      <c r="F851" s="40"/>
    </row>
    <row r="852" spans="1:6">
      <c r="A852" s="39"/>
      <c r="F852" s="40"/>
    </row>
    <row r="853" spans="1:6">
      <c r="A853" s="39"/>
      <c r="F853" s="40"/>
    </row>
    <row r="854" spans="1:6">
      <c r="A854" s="39"/>
      <c r="F854" s="40"/>
    </row>
    <row r="855" spans="1:6">
      <c r="A855" s="39"/>
      <c r="F855" s="40"/>
    </row>
    <row r="856" spans="1:6">
      <c r="A856" s="39"/>
      <c r="F856" s="40"/>
    </row>
    <row r="857" spans="1:6">
      <c r="A857" s="39"/>
      <c r="F857" s="40"/>
    </row>
    <row r="858" spans="1:6">
      <c r="A858" s="39"/>
      <c r="F858" s="40"/>
    </row>
    <row r="859" spans="1:6">
      <c r="A859" s="39"/>
      <c r="F859" s="40"/>
    </row>
    <row r="860" spans="1:6">
      <c r="A860" s="39"/>
      <c r="F860" s="40"/>
    </row>
    <row r="861" spans="1:6">
      <c r="A861" s="39"/>
      <c r="F861" s="40"/>
    </row>
    <row r="862" spans="1:6">
      <c r="A862" s="39"/>
      <c r="F862" s="40"/>
    </row>
    <row r="863" spans="1:6">
      <c r="A863" s="39"/>
      <c r="F863" s="40"/>
    </row>
    <row r="864" spans="1:6">
      <c r="A864" s="39"/>
      <c r="F864" s="40"/>
    </row>
    <row r="865" spans="1:6">
      <c r="A865" s="39"/>
      <c r="F865" s="40"/>
    </row>
    <row r="866" spans="1:6">
      <c r="A866" s="39"/>
      <c r="F866" s="40"/>
    </row>
    <row r="867" spans="1:6">
      <c r="A867" s="39"/>
      <c r="F867" s="40"/>
    </row>
    <row r="868" spans="1:6">
      <c r="A868" s="39"/>
      <c r="F868" s="40"/>
    </row>
    <row r="869" spans="1:6">
      <c r="A869" s="39"/>
      <c r="F869" s="40"/>
    </row>
    <row r="870" spans="1:6">
      <c r="A870" s="39"/>
      <c r="F870" s="40"/>
    </row>
    <row r="871" spans="1:6">
      <c r="A871" s="39"/>
      <c r="F871" s="40"/>
    </row>
    <row r="872" spans="1:6">
      <c r="A872" s="39"/>
      <c r="F872" s="40"/>
    </row>
    <row r="873" spans="1:6">
      <c r="A873" s="39"/>
      <c r="F873" s="40"/>
    </row>
    <row r="874" spans="1:6">
      <c r="A874" s="39"/>
      <c r="F874" s="40"/>
    </row>
    <row r="875" spans="1:6">
      <c r="A875" s="39"/>
      <c r="F875" s="40"/>
    </row>
    <row r="876" spans="1:6">
      <c r="A876" s="39"/>
      <c r="F876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Metrics</vt:lpstr>
      <vt:lpstr>Today Metrics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Mariana de Almeida</cp:lastModifiedBy>
  <dcterms:modified xsi:type="dcterms:W3CDTF">2024-04-12T12:18:39Z</dcterms:modified>
</cp:coreProperties>
</file>